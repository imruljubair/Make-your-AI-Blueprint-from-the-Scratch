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moju3572_colorado_edu/Documents/LAB/Research/ABH/tinyMLP/"/>
    </mc:Choice>
  </mc:AlternateContent>
  <xr:revisionPtr revIDLastSave="132389" documentId="8_{93DCE2E1-136A-4F4F-B001-75F622054806}" xr6:coauthVersionLast="47" xr6:coauthVersionMax="47" xr10:uidLastSave="{B94DFE0E-F3A7-2F46-B130-6DADD60B4486}"/>
  <bookViews>
    <workbookView xWindow="0" yWindow="680" windowWidth="29400" windowHeight="18440" activeTab="4" xr2:uid="{00000000-000D-0000-FFFF-FFFF00000000}"/>
  </bookViews>
  <sheets>
    <sheet name="tinyDigits" sheetId="15" r:id="rId1"/>
    <sheet name="Architect" sheetId="11" r:id="rId2"/>
    <sheet name="Blueprint" sheetId="19" r:id="rId3"/>
    <sheet name="Helper" sheetId="10" r:id="rId4"/>
    <sheet name="Manual" sheetId="12" r:id="rId5"/>
  </sheets>
  <definedNames>
    <definedName name="batch">Manual!$D$2</definedName>
    <definedName name="dim_0">Manual!$D$3</definedName>
    <definedName name="dim_1">Manual!$E$3</definedName>
    <definedName name="dim_2">Manual!$F$3</definedName>
    <definedName name="dim_3">Manual!$G$3</definedName>
    <definedName name="Linear">#REF!</definedName>
    <definedName name="tinyDigitsInfo">tinyDigits!$CD$3:$CE$7</definedName>
    <definedName name="tinyDigitsSample1" localSheetId="0">tinyDigits!$C$4:$G$8</definedName>
    <definedName name="tinyDigitsSample1">#REF!</definedName>
    <definedName name="W">#REF!</definedName>
    <definedName name="Weights">Blueprint!$X$61:$AA$70</definedName>
    <definedName name="WX">#REF!</definedName>
    <definedName name="X">Blueprint!$AC$61:$AF$70</definedName>
    <definedName name="Y">Blueprint!$AC$88:$AF$97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1" i="19" l="1" a="1"/>
  <c r="X61" i="19" s="1"/>
  <c r="B41" i="19" a="1"/>
  <c r="B41" i="19" s="1"/>
  <c r="AM6" i="19" a="1"/>
  <c r="AM6" i="19" s="1"/>
  <c r="AN75" i="12"/>
  <c r="D20" i="12" l="1"/>
  <c r="AE22" i="12" a="1"/>
  <c r="AE22" i="12" s="1"/>
  <c r="Y13" i="10" a="1"/>
  <c r="Y13" i="10" s="1"/>
  <c r="Y14" i="10" a="1"/>
  <c r="Y14" i="10" s="1"/>
  <c r="W91" i="12" a="1"/>
  <c r="W91" i="12" l="1"/>
  <c r="BU66" i="15" a="1"/>
  <c r="BU66" i="15" s="1"/>
  <c r="BU67" i="15" s="1" a="1"/>
  <c r="BU67" i="15" s="1"/>
  <c r="BU59" i="15" a="1"/>
  <c r="BU59" i="15" s="1"/>
  <c r="BU60" i="15" s="1" a="1"/>
  <c r="BU60" i="15" s="1"/>
  <c r="BU52" i="15" a="1"/>
  <c r="BU52" i="15" s="1"/>
  <c r="BU53" i="15" s="1" a="1"/>
  <c r="BU53" i="15" s="1"/>
  <c r="BU45" i="15" a="1"/>
  <c r="BU45" i="15" s="1"/>
  <c r="BU46" i="15" s="1" a="1"/>
  <c r="BU46" i="15" s="1"/>
  <c r="BU38" i="15" a="1"/>
  <c r="BU38" i="15" s="1"/>
  <c r="BU39" i="15" s="1" a="1"/>
  <c r="BU39" i="15" s="1"/>
  <c r="BU31" i="15" a="1"/>
  <c r="BU31" i="15" s="1"/>
  <c r="BU32" i="15" s="1" a="1"/>
  <c r="BU32" i="15" s="1"/>
  <c r="BU24" i="15" a="1"/>
  <c r="BU24" i="15" s="1"/>
  <c r="BU25" i="15" s="1" a="1"/>
  <c r="BU25" i="15" s="1"/>
  <c r="BU17" i="15" a="1"/>
  <c r="BU17" i="15" s="1"/>
  <c r="BU18" i="15" s="1" a="1"/>
  <c r="BU18" i="15" s="1"/>
  <c r="BU10" i="15" a="1"/>
  <c r="BU10" i="15" s="1"/>
  <c r="BU11" i="15" s="1" a="1"/>
  <c r="BU11" i="15" s="1"/>
  <c r="BU3" i="15" a="1"/>
  <c r="BU3" i="15" s="1"/>
  <c r="BU4" i="15" s="1" a="1"/>
  <c r="BU4" i="15" s="1"/>
  <c r="BN66" i="15" a="1"/>
  <c r="BN66" i="15" s="1"/>
  <c r="BN67" i="15" s="1" a="1"/>
  <c r="BN67" i="15" s="1"/>
  <c r="BN59" i="15" a="1"/>
  <c r="BN59" i="15" s="1"/>
  <c r="BN60" i="15" s="1" a="1"/>
  <c r="BN60" i="15" s="1"/>
  <c r="BN52" i="15" a="1"/>
  <c r="BN52" i="15" s="1"/>
  <c r="BN53" i="15" s="1" a="1"/>
  <c r="BN53" i="15" s="1"/>
  <c r="BN45" i="15" a="1"/>
  <c r="BN45" i="15" s="1"/>
  <c r="BN46" i="15" s="1" a="1"/>
  <c r="BN46" i="15" s="1"/>
  <c r="BN38" i="15" a="1"/>
  <c r="BN38" i="15" s="1"/>
  <c r="BN39" i="15" s="1" a="1"/>
  <c r="BN39" i="15" s="1"/>
  <c r="BN31" i="15" a="1"/>
  <c r="BN31" i="15" s="1"/>
  <c r="BN32" i="15" s="1" a="1"/>
  <c r="BN32" i="15" s="1"/>
  <c r="BN24" i="15" a="1"/>
  <c r="BN24" i="15" s="1"/>
  <c r="BN25" i="15" s="1" a="1"/>
  <c r="BN25" i="15" s="1"/>
  <c r="BN17" i="15" a="1"/>
  <c r="BN17" i="15" s="1"/>
  <c r="BN18" i="15" s="1" a="1"/>
  <c r="BN18" i="15" s="1"/>
  <c r="BN10" i="15" a="1"/>
  <c r="BN10" i="15" s="1"/>
  <c r="BN11" i="15" s="1" a="1"/>
  <c r="BN11" i="15" s="1"/>
  <c r="BN3" i="15" a="1"/>
  <c r="BN3" i="15" s="1"/>
  <c r="BN4" i="15" s="1" a="1"/>
  <c r="BN4" i="15" s="1"/>
  <c r="BG66" i="15" a="1"/>
  <c r="BG66" i="15" s="1"/>
  <c r="BG67" i="15" s="1" a="1"/>
  <c r="BG67" i="15" s="1"/>
  <c r="BG59" i="15" a="1"/>
  <c r="BG59" i="15" s="1"/>
  <c r="BG60" i="15" s="1" a="1"/>
  <c r="BG60" i="15" s="1"/>
  <c r="BG52" i="15" a="1"/>
  <c r="BG52" i="15" s="1"/>
  <c r="BG53" i="15" s="1" a="1"/>
  <c r="BG53" i="15" s="1"/>
  <c r="BG45" i="15" a="1"/>
  <c r="BG45" i="15" s="1"/>
  <c r="BG46" i="15" s="1" a="1"/>
  <c r="BG46" i="15" s="1"/>
  <c r="BG38" i="15" a="1"/>
  <c r="BG38" i="15" s="1"/>
  <c r="BG39" i="15" s="1" a="1"/>
  <c r="BG39" i="15" s="1"/>
  <c r="BG31" i="15" a="1"/>
  <c r="BG31" i="15" s="1"/>
  <c r="BG32" i="15" s="1" a="1"/>
  <c r="BG32" i="15" s="1"/>
  <c r="BG24" i="15" a="1"/>
  <c r="BG24" i="15" s="1"/>
  <c r="BG25" i="15" s="1" a="1"/>
  <c r="BG25" i="15" s="1"/>
  <c r="BG17" i="15" a="1"/>
  <c r="BG17" i="15" s="1"/>
  <c r="BG18" i="15" s="1" a="1"/>
  <c r="BG18" i="15" s="1"/>
  <c r="BG10" i="15" a="1"/>
  <c r="BG10" i="15" s="1"/>
  <c r="BG11" i="15" s="1" a="1"/>
  <c r="BG11" i="15" s="1"/>
  <c r="BG3" i="15" a="1"/>
  <c r="BG3" i="15" s="1"/>
  <c r="BG4" i="15" s="1" a="1"/>
  <c r="BG4" i="15" s="1"/>
  <c r="AZ66" i="15" a="1"/>
  <c r="AZ66" i="15" s="1"/>
  <c r="AZ67" i="15" s="1" a="1"/>
  <c r="AZ67" i="15" s="1"/>
  <c r="AZ59" i="15" a="1"/>
  <c r="AZ59" i="15" s="1"/>
  <c r="AZ60" i="15" s="1" a="1"/>
  <c r="AZ60" i="15" s="1"/>
  <c r="AC6" i="19" s="1" a="1"/>
  <c r="AC6" i="19" s="1"/>
  <c r="AZ52" i="15" a="1"/>
  <c r="AZ52" i="15" s="1"/>
  <c r="AZ53" i="15" s="1" a="1"/>
  <c r="AZ53" i="15" s="1"/>
  <c r="AZ45" i="15" a="1"/>
  <c r="AZ45" i="15" s="1"/>
  <c r="AZ46" i="15" s="1" a="1"/>
  <c r="AZ46" i="15" s="1"/>
  <c r="AZ38" i="15" a="1"/>
  <c r="AZ38" i="15" s="1"/>
  <c r="AZ39" i="15" s="1" a="1"/>
  <c r="AZ39" i="15" s="1"/>
  <c r="AZ31" i="15" a="1"/>
  <c r="AZ31" i="15" s="1"/>
  <c r="AZ32" i="15" s="1" a="1"/>
  <c r="AZ32" i="15" s="1"/>
  <c r="AZ24" i="15" a="1"/>
  <c r="AZ24" i="15" s="1"/>
  <c r="AZ25" i="15" s="1" a="1"/>
  <c r="AZ25" i="15" s="1"/>
  <c r="AZ17" i="15" a="1"/>
  <c r="AZ17" i="15" s="1"/>
  <c r="AZ18" i="15" s="1" a="1"/>
  <c r="AZ18" i="15" s="1"/>
  <c r="AZ10" i="15" a="1"/>
  <c r="AZ10" i="15" s="1"/>
  <c r="AZ11" i="15" s="1" a="1"/>
  <c r="AZ11" i="15" s="1"/>
  <c r="AZ3" i="15" a="1"/>
  <c r="AZ3" i="15" s="1"/>
  <c r="AZ4" i="15" s="1" a="1"/>
  <c r="AZ4" i="15" s="1"/>
  <c r="AS66" i="15" a="1"/>
  <c r="AS66" i="15" s="1"/>
  <c r="AS67" i="15" s="1" a="1"/>
  <c r="AS67" i="15" s="1"/>
  <c r="AS59" i="15" a="1"/>
  <c r="AS59" i="15" s="1"/>
  <c r="AS60" i="15" s="1" a="1"/>
  <c r="AS60" i="15" s="1"/>
  <c r="AS52" i="15" a="1"/>
  <c r="AS52" i="15" s="1"/>
  <c r="AS53" i="15" s="1" a="1"/>
  <c r="AS53" i="15" s="1"/>
  <c r="AS45" i="15" a="1"/>
  <c r="AS45" i="15" s="1"/>
  <c r="AS46" i="15" s="1" a="1"/>
  <c r="AS46" i="15" s="1"/>
  <c r="AS38" i="15" a="1"/>
  <c r="AS38" i="15" s="1"/>
  <c r="AS39" i="15" s="1" a="1"/>
  <c r="AS39" i="15" s="1"/>
  <c r="AS31" i="15" a="1"/>
  <c r="AS31" i="15" s="1"/>
  <c r="AS32" i="15" s="1" a="1"/>
  <c r="AS32" i="15" s="1"/>
  <c r="AS24" i="15" a="1"/>
  <c r="AS24" i="15" s="1"/>
  <c r="AS25" i="15" s="1" a="1"/>
  <c r="AS25" i="15" s="1"/>
  <c r="AS17" i="15" a="1"/>
  <c r="AS17" i="15" s="1"/>
  <c r="AS18" i="15" s="1" a="1"/>
  <c r="AS18" i="15" s="1"/>
  <c r="AS10" i="15" a="1"/>
  <c r="AS10" i="15" s="1"/>
  <c r="AS11" i="15" s="1" a="1"/>
  <c r="AS11" i="15" s="1"/>
  <c r="AS3" i="15" a="1"/>
  <c r="AS3" i="15" s="1"/>
  <c r="AS4" i="15" s="1" a="1"/>
  <c r="AS4" i="15" s="1"/>
  <c r="AL66" i="15" a="1"/>
  <c r="AL66" i="15" s="1"/>
  <c r="AL67" i="15" s="1" a="1"/>
  <c r="AL67" i="15" s="1"/>
  <c r="AL59" i="15" a="1"/>
  <c r="AL59" i="15" s="1"/>
  <c r="AL60" i="15" s="1" a="1"/>
  <c r="AL60" i="15" s="1"/>
  <c r="AL52" i="15" a="1"/>
  <c r="AL52" i="15" s="1"/>
  <c r="AL53" i="15" s="1" a="1"/>
  <c r="AL53" i="15" s="1"/>
  <c r="AL45" i="15" a="1"/>
  <c r="AL45" i="15" s="1"/>
  <c r="AL46" i="15" s="1" a="1"/>
  <c r="AL46" i="15" s="1"/>
  <c r="AL38" i="15" a="1"/>
  <c r="AL38" i="15" s="1"/>
  <c r="AL39" i="15" s="1" a="1"/>
  <c r="AL39" i="15" s="1"/>
  <c r="AL31" i="15" a="1"/>
  <c r="AL31" i="15" s="1"/>
  <c r="AL32" i="15" s="1" a="1"/>
  <c r="AL32" i="15" s="1"/>
  <c r="AL24" i="15" a="1"/>
  <c r="AL24" i="15" s="1"/>
  <c r="AL25" i="15" s="1" a="1"/>
  <c r="AL25" i="15" s="1"/>
  <c r="AL17" i="15" a="1"/>
  <c r="AL17" i="15" s="1"/>
  <c r="AL18" i="15" s="1" a="1"/>
  <c r="AL18" i="15" s="1"/>
  <c r="AL10" i="15" a="1"/>
  <c r="AL10" i="15" s="1"/>
  <c r="AL11" i="15" s="1" a="1"/>
  <c r="AL11" i="15" s="1"/>
  <c r="AL3" i="15" a="1"/>
  <c r="AL3" i="15" s="1"/>
  <c r="AL4" i="15" s="1" a="1"/>
  <c r="AL4" i="15" s="1"/>
  <c r="AE66" i="15" a="1"/>
  <c r="AE66" i="15" s="1"/>
  <c r="AE67" i="15" s="1" a="1"/>
  <c r="AE67" i="15" s="1"/>
  <c r="AE59" i="15" a="1"/>
  <c r="AE59" i="15" s="1"/>
  <c r="AE60" i="15" s="1" a="1"/>
  <c r="AE60" i="15" s="1"/>
  <c r="AE52" i="15" a="1"/>
  <c r="AE52" i="15" s="1"/>
  <c r="AE53" i="15" s="1" a="1"/>
  <c r="AE53" i="15" s="1"/>
  <c r="AE45" i="15" a="1"/>
  <c r="AE45" i="15" s="1"/>
  <c r="AE46" i="15" s="1" a="1"/>
  <c r="AE46" i="15" s="1"/>
  <c r="AE31" i="15" a="1"/>
  <c r="AE31" i="15" s="1"/>
  <c r="AE32" i="15" s="1" a="1"/>
  <c r="AE32" i="15" s="1"/>
  <c r="AE3" i="15" a="1"/>
  <c r="AE3" i="15" s="1"/>
  <c r="AE4" i="15" s="1" a="1"/>
  <c r="AE4" i="15" s="1"/>
  <c r="AE38" i="15" a="1"/>
  <c r="AE38" i="15" s="1"/>
  <c r="AE39" i="15" s="1" a="1"/>
  <c r="AE39" i="15" s="1"/>
  <c r="AE24" i="15" a="1"/>
  <c r="AE24" i="15" s="1"/>
  <c r="AE25" i="15" s="1" a="1"/>
  <c r="AE25" i="15" s="1"/>
  <c r="AE17" i="15" a="1"/>
  <c r="AE17" i="15" s="1"/>
  <c r="AE18" i="15" s="1" a="1"/>
  <c r="AE18" i="15" s="1"/>
  <c r="AE10" i="15" a="1"/>
  <c r="AE10" i="15" s="1"/>
  <c r="AE11" i="15" s="1" a="1"/>
  <c r="AE11" i="15" s="1"/>
  <c r="X66" i="15" a="1"/>
  <c r="X66" i="15" s="1"/>
  <c r="X67" i="15" s="1" a="1"/>
  <c r="X67" i="15" s="1"/>
  <c r="AR6" i="19" s="1" a="1"/>
  <c r="AR6" i="19" s="1"/>
  <c r="X59" i="15" a="1"/>
  <c r="X59" i="15" s="1"/>
  <c r="X60" i="15" s="1" a="1"/>
  <c r="X60" i="15" s="1"/>
  <c r="X52" i="15" a="1"/>
  <c r="X52" i="15" s="1"/>
  <c r="X53" i="15" s="1" a="1"/>
  <c r="X53" i="15" s="1"/>
  <c r="X45" i="15" a="1"/>
  <c r="X45" i="15" s="1"/>
  <c r="X46" i="15" s="1" a="1"/>
  <c r="X46" i="15" s="1"/>
  <c r="X38" i="15" a="1"/>
  <c r="X38" i="15" s="1"/>
  <c r="X39" i="15" s="1" a="1"/>
  <c r="X39" i="15" s="1"/>
  <c r="X31" i="15" a="1"/>
  <c r="X31" i="15" s="1"/>
  <c r="X32" i="15" s="1" a="1"/>
  <c r="X32" i="15" s="1"/>
  <c r="X24" i="15" a="1"/>
  <c r="X24" i="15" s="1"/>
  <c r="X25" i="15" s="1" a="1"/>
  <c r="X25" i="15" s="1"/>
  <c r="X17" i="15" a="1"/>
  <c r="X17" i="15" s="1"/>
  <c r="X18" i="15" s="1" a="1"/>
  <c r="X18" i="15" s="1"/>
  <c r="X10" i="15" a="1"/>
  <c r="X10" i="15" s="1"/>
  <c r="X11" i="15" s="1" a="1"/>
  <c r="X11" i="15" s="1"/>
  <c r="X3" i="15" a="1"/>
  <c r="X3" i="15" s="1"/>
  <c r="X4" i="15" s="1" a="1"/>
  <c r="X4" i="15" s="1"/>
  <c r="Q3" i="15" a="1"/>
  <c r="Q3" i="15" s="1"/>
  <c r="Q4" i="15" s="1" a="1"/>
  <c r="Q4" i="15" s="1"/>
  <c r="Q24" i="15" a="1"/>
  <c r="Q24" i="15" s="1"/>
  <c r="Q25" i="15" s="1" a="1"/>
  <c r="Q25" i="15" s="1"/>
  <c r="Q66" i="15" a="1"/>
  <c r="Q66" i="15" s="1"/>
  <c r="Q67" i="15" s="1" a="1"/>
  <c r="Q67" i="15" s="1"/>
  <c r="Q59" i="15" a="1"/>
  <c r="Q59" i="15" s="1"/>
  <c r="Q60" i="15" s="1" a="1"/>
  <c r="Q60" i="15" s="1"/>
  <c r="Q52" i="15" a="1"/>
  <c r="Q52" i="15" s="1"/>
  <c r="Q53" i="15" s="1" a="1"/>
  <c r="Q53" i="15" s="1"/>
  <c r="AH6" i="19" s="1" a="1"/>
  <c r="AH6" i="19" s="1"/>
  <c r="Q45" i="15" a="1"/>
  <c r="Q45" i="15" s="1"/>
  <c r="Q46" i="15" s="1" a="1"/>
  <c r="Q46" i="15" s="1"/>
  <c r="Q38" i="15" a="1"/>
  <c r="Q38" i="15" s="1"/>
  <c r="Q39" i="15" s="1" a="1"/>
  <c r="Q39" i="15" s="1"/>
  <c r="Q31" i="15" a="1"/>
  <c r="Q31" i="15" s="1"/>
  <c r="Q32" i="15" s="1" a="1"/>
  <c r="Q32" i="15" s="1"/>
  <c r="Q17" i="15" a="1"/>
  <c r="Q17" i="15" s="1"/>
  <c r="Q18" i="15" s="1" a="1"/>
  <c r="Q18" i="15" s="1"/>
  <c r="Q10" i="15" a="1"/>
  <c r="Q10" i="15" s="1"/>
  <c r="Q11" i="15" s="1" a="1"/>
  <c r="Q11" i="15" s="1"/>
  <c r="J66" i="15" a="1"/>
  <c r="J66" i="15" s="1"/>
  <c r="J67" i="15" s="1" a="1"/>
  <c r="J67" i="15" s="1"/>
  <c r="J59" i="15" a="1"/>
  <c r="J59" i="15" s="1"/>
  <c r="J60" i="15" s="1" a="1"/>
  <c r="J60" i="15" s="1"/>
  <c r="J52" i="15" a="1"/>
  <c r="J52" i="15" s="1"/>
  <c r="J53" i="15" s="1" a="1"/>
  <c r="J53" i="15" s="1"/>
  <c r="J45" i="15" a="1"/>
  <c r="J45" i="15" s="1"/>
  <c r="J46" i="15" s="1" a="1"/>
  <c r="J46" i="15" s="1"/>
  <c r="J38" i="15" a="1"/>
  <c r="J38" i="15" s="1"/>
  <c r="J39" i="15" s="1" a="1"/>
  <c r="J39" i="15" s="1"/>
  <c r="J31" i="15" a="1"/>
  <c r="J31" i="15" s="1"/>
  <c r="J32" i="15" s="1" a="1"/>
  <c r="J32" i="15" s="1"/>
  <c r="J24" i="15" a="1"/>
  <c r="J24" i="15" s="1"/>
  <c r="J25" i="15" s="1" a="1"/>
  <c r="J25" i="15" s="1"/>
  <c r="J17" i="15" a="1"/>
  <c r="J17" i="15" s="1"/>
  <c r="J18" i="15" s="1" a="1"/>
  <c r="J18" i="15" s="1"/>
  <c r="J10" i="15" a="1"/>
  <c r="J10" i="15" s="1"/>
  <c r="J11" i="15" s="1" a="1"/>
  <c r="J11" i="15" s="1"/>
  <c r="J3" i="15" a="1"/>
  <c r="J3" i="15" s="1"/>
  <c r="J4" i="15" s="1" a="1"/>
  <c r="J4" i="15" s="1"/>
  <c r="J1" i="15"/>
  <c r="Y74" i="12" a="1"/>
  <c r="Y74" i="12" s="1"/>
  <c r="D51" i="12" a="1"/>
  <c r="D51" i="12" s="1"/>
  <c r="AC13" i="19" l="1" a="1"/>
  <c r="AC13" i="19" s="1"/>
  <c r="AC41" i="19" s="1" a="1"/>
  <c r="AC41" i="19" s="1"/>
  <c r="AC46" i="19" s="1" a="1"/>
  <c r="AC46" i="19" s="1"/>
  <c r="N7" i="12" a="1"/>
  <c r="N7" i="12" s="1"/>
  <c r="I7" i="12" a="1"/>
  <c r="I7" i="12" s="1"/>
  <c r="X7" i="12" a="1"/>
  <c r="X7" i="12" s="1"/>
  <c r="S7" i="12" a="1"/>
  <c r="S7" i="12" s="1"/>
  <c r="D7" i="12" a="1"/>
  <c r="D7" i="12" s="1"/>
  <c r="AC51" i="19" l="1" a="1"/>
  <c r="AC51" i="19" s="1"/>
  <c r="AC53" i="19" a="1"/>
  <c r="AC53" i="19" s="1"/>
  <c r="S13" i="12" a="1"/>
  <c r="S13" i="12" s="1"/>
  <c r="AC55" i="19" l="1" a="1"/>
  <c r="AC55" i="19" s="1"/>
  <c r="AC61" i="19" s="1" a="1"/>
  <c r="AC61" i="19" s="1"/>
  <c r="AC73" i="19" s="1" a="1"/>
  <c r="AC73" i="19" s="1"/>
  <c r="X13" i="12" a="1"/>
  <c r="X13" i="12" s="1"/>
  <c r="N13" i="12" a="1"/>
  <c r="N13" i="12" s="1"/>
  <c r="I13" i="12" a="1"/>
  <c r="I13" i="12" s="1"/>
  <c r="AC85" i="19" l="1" a="1"/>
  <c r="AC85" i="19" s="1"/>
  <c r="AC88" i="19" s="1" a="1"/>
  <c r="AC88" i="19" s="1"/>
  <c r="D13" i="12" a="1"/>
  <c r="D13" i="12" s="1"/>
  <c r="AE23" i="12" s="1" a="1"/>
  <c r="AE23" i="12" s="1"/>
  <c r="AE51" i="12" l="1" a="1"/>
  <c r="AE51" i="12" s="1"/>
  <c r="AE57" i="12" s="1" a="1"/>
  <c r="AE57" i="12" s="1"/>
  <c r="AE63" i="12" l="1" a="1"/>
  <c r="AE63" i="12" s="1"/>
  <c r="AE65" i="12" a="1"/>
  <c r="AE65" i="12" s="1"/>
  <c r="AE67" i="12" l="1" a="1"/>
  <c r="AE67" i="12" s="1"/>
  <c r="AE74" i="12" s="1" a="1"/>
  <c r="AE74" i="12" s="1"/>
  <c r="AE82" i="12" s="1" a="1"/>
  <c r="AE82" i="12" l="1"/>
  <c r="AE91" i="12" s="1" a="1"/>
  <c r="AE91" i="12" s="1"/>
  <c r="AE102" i="12" s="1" a="1"/>
  <c r="AE102" i="12" s="1"/>
  <c r="AE112" i="12" s="1" a="1"/>
  <c r="AE112" i="12" s="1"/>
  <c r="AE114" i="12" s="1" a="1"/>
  <c r="AE114" i="12" s="1"/>
  <c r="AW108" i="12" l="1" a="1"/>
  <c r="AW108" i="12" s="1"/>
  <c r="AQ114" i="12" a="1"/>
  <c r="AQ114" i="12" l="1"/>
  <c r="AW114" i="12" s="1" a="1"/>
  <c r="AW114" i="12" l="1"/>
  <c r="AW91" i="12" a="1"/>
  <c r="AW91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<sst xmlns="http://schemas.openxmlformats.org/spreadsheetml/2006/main" count="171" uniqueCount="104">
  <si>
    <t>X</t>
  </si>
  <si>
    <t>Y</t>
  </si>
  <si>
    <t>Horizontal Flip</t>
  </si>
  <si>
    <t>Vertical Flip</t>
  </si>
  <si>
    <t>180 Rotation</t>
  </si>
  <si>
    <t>90 CW</t>
  </si>
  <si>
    <t>90 CCW</t>
  </si>
  <si>
    <t>None</t>
  </si>
  <si>
    <t>Shift Up</t>
  </si>
  <si>
    <t>Shift Down</t>
  </si>
  <si>
    <t>Shift Left</t>
  </si>
  <si>
    <t>Shift Right</t>
  </si>
  <si>
    <t>Original</t>
  </si>
  <si>
    <t>Noise</t>
  </si>
  <si>
    <t/>
  </si>
  <si>
    <t>Augmentation</t>
  </si>
  <si>
    <t>WX+b</t>
  </si>
  <si>
    <t>ReLU</t>
  </si>
  <si>
    <t>Softmax</t>
  </si>
  <si>
    <t>Sigmoid</t>
  </si>
  <si>
    <t>Tanh</t>
  </si>
  <si>
    <t>BatchNorm</t>
  </si>
  <si>
    <t>LayerNorm</t>
  </si>
  <si>
    <t>Dropout</t>
  </si>
  <si>
    <t>Input</t>
  </si>
  <si>
    <t>batch</t>
  </si>
  <si>
    <t>Output</t>
  </si>
  <si>
    <t>dim</t>
  </si>
  <si>
    <t>CE</t>
  </si>
  <si>
    <t>MSE</t>
  </si>
  <si>
    <t>Ops</t>
  </si>
  <si>
    <t>Flatten</t>
  </si>
  <si>
    <t>tinyDigits</t>
  </si>
  <si>
    <t>Datasets</t>
  </si>
  <si>
    <t>Linear</t>
  </si>
  <si>
    <t>Activation</t>
  </si>
  <si>
    <t>Type</t>
  </si>
  <si>
    <t>Name</t>
  </si>
  <si>
    <t>Operations</t>
  </si>
  <si>
    <t>Per sample Randomization</t>
  </si>
  <si>
    <t>List</t>
  </si>
  <si>
    <t>Regularization</t>
  </si>
  <si>
    <t>L1</t>
  </si>
  <si>
    <t>Y'</t>
  </si>
  <si>
    <t>loss</t>
  </si>
  <si>
    <t>Class</t>
  </si>
  <si>
    <t>Sample</t>
  </si>
  <si>
    <t>Cls</t>
  </si>
  <si>
    <t>Row</t>
  </si>
  <si>
    <t>Col</t>
  </si>
  <si>
    <t>Print</t>
  </si>
  <si>
    <t>System</t>
  </si>
  <si>
    <t>_num</t>
  </si>
  <si>
    <t>Batch</t>
  </si>
  <si>
    <t>W</t>
  </si>
  <si>
    <t>b</t>
  </si>
  <si>
    <t>X=WX+b</t>
  </si>
  <si>
    <t>X=ReLU(X)</t>
  </si>
  <si>
    <t>X=LN(X)</t>
  </si>
  <si>
    <t>BN</t>
  </si>
  <si>
    <t>LN</t>
  </si>
  <si>
    <t>Flat</t>
  </si>
  <si>
    <t>Short Name</t>
  </si>
  <si>
    <t>Mean(X)</t>
  </si>
  <si>
    <t>Std(X)</t>
  </si>
  <si>
    <t>X=tanh(X)</t>
  </si>
  <si>
    <t>exp(X)</t>
  </si>
  <si>
    <t>∑ exp(X)</t>
  </si>
  <si>
    <t>X=Softmax(X)</t>
  </si>
  <si>
    <t>Dimension</t>
  </si>
  <si>
    <t>Gaps</t>
  </si>
  <si>
    <t>Scale</t>
  </si>
  <si>
    <t>✓</t>
  </si>
  <si>
    <t>👇 Check ABH sheet.</t>
  </si>
  <si>
    <t>tinyAlphas</t>
  </si>
  <si>
    <t>Smp</t>
  </si>
  <si>
    <t>X = Linear (X)</t>
  </si>
  <si>
    <t>L1-Normalize</t>
  </si>
  <si>
    <t>class</t>
  </si>
  <si>
    <t>samples</t>
  </si>
  <si>
    <t>names</t>
  </si>
  <si>
    <t>Metadata</t>
  </si>
  <si>
    <t>X = Flatten (X)</t>
  </si>
  <si>
    <t>Weights</t>
  </si>
  <si>
    <t>class:</t>
  </si>
  <si>
    <t>sample:</t>
  </si>
  <si>
    <t>[1]</t>
  </si>
  <si>
    <t>[2]</t>
  </si>
  <si>
    <t>[3]</t>
  </si>
  <si>
    <t>[4]</t>
  </si>
  <si>
    <t>X = tinyDigits</t>
  </si>
  <si>
    <t>Exp</t>
  </si>
  <si>
    <t>Sum (Exp)</t>
  </si>
  <si>
    <t>Y = Softmax (X)</t>
  </si>
  <si>
    <t>X = ReLU (X)</t>
  </si>
  <si>
    <t>X, dim=3</t>
  </si>
  <si>
    <t>X, dim=10</t>
  </si>
  <si>
    <t>rows</t>
  </si>
  <si>
    <t>cols</t>
  </si>
  <si>
    <t>0, 1, 2, 3, 4, 5, 6, 7, 8, 9</t>
  </si>
  <si>
    <t>Mean</t>
  </si>
  <si>
    <t>Std</t>
  </si>
  <si>
    <t>X = LayerNorm (X)</t>
  </si>
  <si>
    <t>X=tinyDigits, batch=4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</si>
</sst>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808080"/>
      <name val="Ink Free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Ink Free"/>
    </font>
    <font>
      <b/>
      <sz val="12"/>
      <color theme="1"/>
      <name val="Ink Free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18" xfId="0" applyFont="1" applyBorder="1" applyAlignment="1">
      <alignment horizontal="left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3" fillId="0" borderId="19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right" vertical="center"/>
    </xf>
    <xf numFmtId="0" fontId="12" fillId="4" borderId="5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3B3-6632-0948-A9D3-DB98D0211E79}">
  <dimension ref="A1:CJ73"/>
  <sheetViews>
    <sheetView showGridLines="0" topLeftCell="BM1" zoomScale="125" zoomScaleNormal="81" workbookViewId="0">
      <selection activeCell="CD3" sqref="CD3:CE7"/>
    </sheetView>
  </sheetViews>
  <sheetFormatPr baseColWidth="10" defaultColWidth="3.33203125" defaultRowHeight="18" customHeight="1" x14ac:dyDescent="0.2"/>
  <cols>
    <col min="1" max="1" width="3.33203125" style="3"/>
    <col min="2" max="2" width="3.33203125" style="2" customWidth="1"/>
    <col min="3" max="8" width="3.33203125" style="3" customWidth="1"/>
    <col min="9" max="9" width="3.33203125" style="3"/>
    <col min="10" max="15" width="3.33203125" style="3" customWidth="1"/>
    <col min="16" max="16" width="3.33203125" style="3"/>
    <col min="17" max="17" width="3.33203125" style="3" customWidth="1"/>
    <col min="18" max="23" width="3.33203125" style="3"/>
    <col min="24" max="29" width="3.33203125" style="3" customWidth="1"/>
    <col min="30" max="30" width="3.33203125" style="3"/>
    <col min="31" max="36" width="3.33203125" style="3" customWidth="1"/>
    <col min="37" max="37" width="3.33203125" style="3"/>
    <col min="38" max="43" width="3.33203125" style="3" customWidth="1"/>
    <col min="44" max="44" width="3.33203125" style="3"/>
    <col min="45" max="50" width="3.33203125" style="3" customWidth="1"/>
    <col min="51" max="51" width="3.33203125" style="3"/>
    <col min="52" max="55" width="3.33203125" style="3" customWidth="1"/>
    <col min="56" max="57" width="3.33203125" style="1" customWidth="1"/>
    <col min="58" max="58" width="3.33203125" style="1"/>
    <col min="59" max="59" width="3.33203125" style="1" customWidth="1"/>
    <col min="60" max="65" width="3.33203125" style="1"/>
    <col min="66" max="70" width="3.33203125" style="3" customWidth="1"/>
    <col min="71" max="71" width="3.33203125" style="3"/>
    <col min="72" max="77" width="3.33203125" style="1" customWidth="1"/>
    <col min="78" max="78" width="3.33203125" style="1"/>
    <col min="79" max="81" width="3.33203125" style="1" customWidth="1"/>
    <col min="82" max="88" width="3.33203125" style="1"/>
    <col min="89" max="16384" width="3.33203125" style="3"/>
  </cols>
  <sheetData>
    <row r="1" spans="1:86" s="1" customFormat="1" ht="18" customHeight="1" thickBot="1" x14ac:dyDescent="0.25">
      <c r="A1" s="3"/>
      <c r="B1" s="2"/>
      <c r="C1" s="3"/>
      <c r="D1" s="3"/>
      <c r="E1" s="3"/>
      <c r="F1" s="3"/>
      <c r="G1" s="3"/>
      <c r="H1" s="3"/>
      <c r="I1" s="3"/>
      <c r="J1" s="3">
        <f ca="1">OFFSET(Helper!J13,0,1)</f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N1" s="3"/>
      <c r="BO1" s="3"/>
      <c r="BP1" s="3"/>
      <c r="BQ1" s="3"/>
      <c r="BR1" s="3"/>
      <c r="BS1" s="3"/>
    </row>
    <row r="2" spans="1:86" s="1" customFormat="1" ht="18" customHeight="1" x14ac:dyDescent="0.2">
      <c r="A2" s="24"/>
      <c r="B2" s="25"/>
      <c r="C2" s="98">
        <v>0</v>
      </c>
      <c r="D2" s="98"/>
      <c r="E2" s="98"/>
      <c r="F2" s="98"/>
      <c r="G2" s="98"/>
      <c r="H2" s="25"/>
      <c r="I2" s="25"/>
      <c r="J2" s="98">
        <v>1</v>
      </c>
      <c r="K2" s="98"/>
      <c r="L2" s="98"/>
      <c r="M2" s="98"/>
      <c r="N2" s="98"/>
      <c r="O2" s="25"/>
      <c r="P2" s="25"/>
      <c r="Q2" s="98">
        <v>2</v>
      </c>
      <c r="R2" s="98"/>
      <c r="S2" s="98"/>
      <c r="T2" s="98"/>
      <c r="U2" s="98"/>
      <c r="V2" s="25"/>
      <c r="W2" s="25"/>
      <c r="X2" s="98">
        <v>3</v>
      </c>
      <c r="Y2" s="98"/>
      <c r="Z2" s="98"/>
      <c r="AA2" s="98"/>
      <c r="AB2" s="98"/>
      <c r="AC2" s="25"/>
      <c r="AD2" s="25"/>
      <c r="AE2" s="98">
        <v>4</v>
      </c>
      <c r="AF2" s="98"/>
      <c r="AG2" s="98"/>
      <c r="AH2" s="98"/>
      <c r="AI2" s="98"/>
      <c r="AJ2" s="25"/>
      <c r="AK2" s="25"/>
      <c r="AL2" s="98">
        <v>5</v>
      </c>
      <c r="AM2" s="98"/>
      <c r="AN2" s="98"/>
      <c r="AO2" s="98"/>
      <c r="AP2" s="98"/>
      <c r="AQ2" s="25"/>
      <c r="AR2" s="25"/>
      <c r="AS2" s="98">
        <v>6</v>
      </c>
      <c r="AT2" s="98"/>
      <c r="AU2" s="98"/>
      <c r="AV2" s="98"/>
      <c r="AW2" s="98"/>
      <c r="AX2" s="25"/>
      <c r="AY2" s="25"/>
      <c r="AZ2" s="98">
        <v>7</v>
      </c>
      <c r="BA2" s="98"/>
      <c r="BB2" s="98"/>
      <c r="BC2" s="98"/>
      <c r="BD2" s="98"/>
      <c r="BE2" s="25"/>
      <c r="BF2" s="25"/>
      <c r="BG2" s="98">
        <v>8</v>
      </c>
      <c r="BH2" s="98"/>
      <c r="BI2" s="98"/>
      <c r="BJ2" s="98"/>
      <c r="BK2" s="98"/>
      <c r="BL2" s="25"/>
      <c r="BM2" s="25"/>
      <c r="BN2" s="98">
        <v>9</v>
      </c>
      <c r="BO2" s="98"/>
      <c r="BP2" s="98"/>
      <c r="BQ2" s="98"/>
      <c r="BR2" s="98"/>
      <c r="BS2" s="25"/>
      <c r="BT2" s="26"/>
      <c r="BU2" s="98">
        <v>10</v>
      </c>
      <c r="BV2" s="98"/>
      <c r="BW2" s="98"/>
      <c r="BX2" s="98"/>
      <c r="BY2" s="98"/>
      <c r="BZ2" s="26"/>
      <c r="CA2" s="27"/>
      <c r="CC2" s="85"/>
      <c r="CD2" s="85"/>
      <c r="CE2" s="86" t="s">
        <v>81</v>
      </c>
      <c r="CF2" s="85"/>
      <c r="CG2" s="85"/>
      <c r="CH2" s="85"/>
    </row>
    <row r="3" spans="1:86" s="1" customFormat="1" ht="18" customHeight="1" thickBot="1" x14ac:dyDescent="0.25">
      <c r="A3" s="7"/>
      <c r="B3" s="99">
        <v>0</v>
      </c>
      <c r="C3" s="97" t="s">
        <v>12</v>
      </c>
      <c r="D3" s="97"/>
      <c r="E3" s="97"/>
      <c r="F3" s="97"/>
      <c r="G3" s="97"/>
      <c r="H3" s="28"/>
      <c r="I3" s="28"/>
      <c r="J3" s="97" t="str" cm="1">
        <f t="array" aca="1" ref="J3" ca="1">INDEX(Helper!$E$13:$E$22, OFFSET(Helper!$J$13,$B3,J$2))</f>
        <v>Vertical Flip</v>
      </c>
      <c r="K3" s="97"/>
      <c r="L3" s="97"/>
      <c r="M3" s="97"/>
      <c r="N3" s="97"/>
      <c r="O3" s="3"/>
      <c r="P3" s="28"/>
      <c r="Q3" s="97" t="str" cm="1">
        <f t="array" aca="1" ref="Q3" ca="1">INDEX(Helper!$E$13:$E$22, OFFSET(Helper!$J$13,$B3,Q$2))</f>
        <v>Shift Right</v>
      </c>
      <c r="R3" s="97"/>
      <c r="S3" s="97"/>
      <c r="T3" s="97"/>
      <c r="U3" s="97"/>
      <c r="V3" s="3"/>
      <c r="W3" s="28"/>
      <c r="X3" s="97" t="str" cm="1">
        <f t="array" aca="1" ref="X3" ca="1">INDEX(Helper!$E$13:$E$22, OFFSET(Helper!$J$13,$B3,X$2))</f>
        <v>90 CCW</v>
      </c>
      <c r="Y3" s="97"/>
      <c r="Z3" s="97"/>
      <c r="AA3" s="97"/>
      <c r="AB3" s="97"/>
      <c r="AC3" s="3"/>
      <c r="AD3" s="28"/>
      <c r="AE3" s="97" t="str" cm="1">
        <f t="array" aca="1" ref="AE3" ca="1">INDEX(Helper!$E$13:$E$22, OFFSET(Helper!$J$13,$B3,AE$2))</f>
        <v>Shift Up</v>
      </c>
      <c r="AF3" s="97"/>
      <c r="AG3" s="97"/>
      <c r="AH3" s="97"/>
      <c r="AI3" s="97"/>
      <c r="AJ3" s="3"/>
      <c r="AK3" s="28"/>
      <c r="AL3" s="97" t="str" cm="1">
        <f t="array" aca="1" ref="AL3" ca="1">INDEX(Helper!$E$13:$E$22, OFFSET(Helper!$J$13,$B3,AL$2))</f>
        <v>Shift Down</v>
      </c>
      <c r="AM3" s="97"/>
      <c r="AN3" s="97"/>
      <c r="AO3" s="97"/>
      <c r="AP3" s="97"/>
      <c r="AQ3" s="3"/>
      <c r="AR3" s="28"/>
      <c r="AS3" s="97" t="str" cm="1">
        <f t="array" aca="1" ref="AS3" ca="1">INDEX(Helper!$E$13:$E$22, OFFSET(Helper!$J$13,$B3,AS$2))</f>
        <v>Shift Left</v>
      </c>
      <c r="AT3" s="97"/>
      <c r="AU3" s="97"/>
      <c r="AV3" s="97"/>
      <c r="AW3" s="97"/>
      <c r="AX3" s="3"/>
      <c r="AY3" s="28"/>
      <c r="AZ3" s="97" t="str" cm="1">
        <f t="array" aca="1" ref="AZ3" ca="1">INDEX(Helper!$E$13:$E$22, OFFSET(Helper!$J$13,$B3,AZ$2))</f>
        <v>180 Rotation</v>
      </c>
      <c r="BA3" s="97"/>
      <c r="BB3" s="97"/>
      <c r="BC3" s="97"/>
      <c r="BD3" s="97"/>
      <c r="BE3" s="3"/>
      <c r="BF3" s="28"/>
      <c r="BG3" s="97" t="str" cm="1">
        <f t="array" aca="1" ref="BG3" ca="1">INDEX(Helper!$E$13:$E$22, OFFSET(Helper!$J$13,$B3,BG$2))</f>
        <v>Noise</v>
      </c>
      <c r="BH3" s="97"/>
      <c r="BI3" s="97"/>
      <c r="BJ3" s="97"/>
      <c r="BK3" s="97"/>
      <c r="BL3" s="3"/>
      <c r="BM3" s="28"/>
      <c r="BN3" s="97" t="str" cm="1">
        <f t="array" aca="1" ref="BN3" ca="1">INDEX(Helper!$E$13:$E$22, OFFSET(Helper!$J$13,$B3,BN$2))</f>
        <v>Horizontal Flip</v>
      </c>
      <c r="BO3" s="97"/>
      <c r="BP3" s="97"/>
      <c r="BQ3" s="97"/>
      <c r="BR3" s="97"/>
      <c r="BS3" s="3"/>
      <c r="BU3" s="97" t="str" cm="1">
        <f t="array" aca="1" ref="BU3" ca="1">INDEX(Helper!$E$13:$E$22, OFFSET(Helper!$J$13,$B3,BU$2))</f>
        <v>90 CW</v>
      </c>
      <c r="BV3" s="97"/>
      <c r="BW3" s="97"/>
      <c r="BX3" s="97"/>
      <c r="BY3" s="97"/>
      <c r="CA3" s="29"/>
      <c r="CC3" s="91"/>
      <c r="CD3" s="92" t="s">
        <v>78</v>
      </c>
      <c r="CE3" s="87">
        <v>10</v>
      </c>
      <c r="CF3" s="88"/>
      <c r="CG3" s="88"/>
      <c r="CH3" s="88"/>
    </row>
    <row r="4" spans="1:86" s="1" customFormat="1" ht="18" customHeight="1" x14ac:dyDescent="0.2">
      <c r="A4" s="7"/>
      <c r="B4" s="99"/>
      <c r="C4" s="4">
        <v>0.19397268734601947</v>
      </c>
      <c r="D4" s="5">
        <v>1</v>
      </c>
      <c r="E4" s="5">
        <v>1</v>
      </c>
      <c r="F4" s="5">
        <v>1</v>
      </c>
      <c r="G4" s="6">
        <v>0.23189843539738109</v>
      </c>
      <c r="H4" s="3"/>
      <c r="I4" s="3"/>
      <c r="J4" s="4" cm="1">
        <f t="array" aca="1" ref="J4:N8" ca="1">_xlfn.IFS(J3="None",  $C4:$G8*0,           J3="Horizontal Flip", INDEX($C4:$G8, _xlfn.SEQUENCE(5), 6 - _xlfn.SEQUENCE(1,5)),        J3="Vertical Flip", INDEX($C4:$G8, 6 - _xlfn.SEQUENCE(5), _xlfn.SEQUENCE(1,5)),      J3="180 Rotation", INDEX($C4:$G8, 6 - _xlfn.SEQUENCE(5), 6 - _xlfn.SEQUENCE(1,5)),        J3="90 CW", INDEX($C4:$G8, 6 - _xlfn.SEQUENCE(1,5), _xlfn.SEQUENCE(5)),          J3="90 CCW", INDEX($C4:$G8, _xlfn.SEQUENCE(1,5), 6 - _xlfn.SEQUENCE(5)),         J3="Shift Up", IF(_xlfn.SEQUENCE(5)+1&lt;=5, INDEX($C4:$G8, _xlfn.SEQUENCE(5)+1, _xlfn.SEQUENCE(1,5)), 0),         J3="Shift Down", IF(_xlfn.SEQUENCE(5)-1&gt;=1, INDEX($C4:$G8, _xlfn.SEQUENCE(5)-1, _xlfn.SEQUENCE(1,5)), 0),         J3="Shift Left",   IF(_xlfn.SEQUENCE(1,5)+1&lt;=5, INDEX($C4:$G8, _xlfn.SEQUENCE(5), _xlfn.SEQUENCE(1,5)+1),0),         J3= "Shift Right",  IF(_xlfn.SEQUENCE(1,5)-1&gt;=1, INDEX($C4:$G8, _xlfn.SEQUENCE(5), _xlfn.SEQUENCE(1,5)-1), 0),        J3="Noise",  _xlfn.MAP($C4:$G8 + (_xlfn.RANDARRAY(ROWS($C4:$G8), COLUMNS($C4:$G8)) - 0.5) * 0.4, _xlfn.LAMBDA(_xlpm.x, MAX(0, MIN(1, _xlpm.x)))))</f>
        <v>0.63892938486000916</v>
      </c>
      <c r="K4" s="5">
        <f ca="1"/>
        <v>0.38883352858279174</v>
      </c>
      <c r="L4" s="5">
        <f ca="1"/>
        <v>0.61593869529044076</v>
      </c>
      <c r="M4" s="5">
        <f ca="1"/>
        <v>0.64781383089559441</v>
      </c>
      <c r="N4" s="6">
        <f ca="1"/>
        <v>0.22260189188168822</v>
      </c>
      <c r="O4" s="3"/>
      <c r="P4" s="3"/>
      <c r="Q4" s="4" cm="1">
        <f t="array" aca="1" ref="Q4:U8" ca="1">_xlfn.IFS(Q3="None",  $C4:$G8*0,           Q3="Horizontal Flip", INDEX($C4:$G8, _xlfn.SEQUENCE(5), 6 - _xlfn.SEQUENCE(1,5)),        Q3="Vertical Flip", INDEX($C4:$G8, 6 - _xlfn.SEQUENCE(5), _xlfn.SEQUENCE(1,5)),      Q3="180 Rotation", INDEX($C4:$G8, 6 - _xlfn.SEQUENCE(5), 6 - _xlfn.SEQUENCE(1,5)),        Q3="90 CW", INDEX($C4:$G8, 6 - _xlfn.SEQUENCE(1,5), _xlfn.SEQUENCE(5)),          Q3="90 CCW", INDEX($C4:$G8, _xlfn.SEQUENCE(1,5), 6 - _xlfn.SEQUENCE(5)),         Q3="Shift Up", IF(_xlfn.SEQUENCE(5)+1&lt;=5, INDEX($C4:$G8, _xlfn.SEQUENCE(5)+1, _xlfn.SEQUENCE(1,5)), 0),         Q3="Shift Down", IF(_xlfn.SEQUENCE(5)-1&gt;=1, INDEX($C4:$G8, _xlfn.SEQUENCE(5)-1, _xlfn.SEQUENCE(1,5)), 0),         Q3="Shift Left",   IF(_xlfn.SEQUENCE(1,5)+1&lt;=5, INDEX($C4:$G8, _xlfn.SEQUENCE(5), _xlfn.SEQUENCE(1,5)+1),0),         Q3= "Shift Right",  IF(_xlfn.SEQUENCE(1,5)-1&gt;=1, INDEX($C4:$G8, _xlfn.SEQUENCE(5), _xlfn.SEQUENCE(1,5)-1), 0),        Q3="Noise",  _xlfn.MAP($C4:$G8 + (_xlfn.RANDARRAY(ROWS($C4:$G8), COLUMNS($C4:$G8)) - 0.5) * 0.4, _xlfn.LAMBDA(_xlpm.x, MAX(0, MIN(1, _xlpm.x)))))</f>
        <v>0</v>
      </c>
      <c r="R4" s="5">
        <f ca="1"/>
        <v>0.19397268734601947</v>
      </c>
      <c r="S4" s="5">
        <f ca="1"/>
        <v>1</v>
      </c>
      <c r="T4" s="5">
        <f ca="1"/>
        <v>1</v>
      </c>
      <c r="U4" s="6">
        <f ca="1"/>
        <v>1</v>
      </c>
      <c r="V4" s="3"/>
      <c r="W4" s="3"/>
      <c r="X4" s="4" cm="1">
        <f t="array" aca="1" ref="X4:AB8" ca="1">_xlfn.IFS(X3="None",  $C4:$G8*0,           X3="Horizontal Flip", INDEX($C4:$G8, _xlfn.SEQUENCE(5), 6 - _xlfn.SEQUENCE(1,5)),        X3="Vertical Flip", INDEX($C4:$G8, 6 - _xlfn.SEQUENCE(5), _xlfn.SEQUENCE(1,5)),      X3="180 Rotation", INDEX($C4:$G8, 6 - _xlfn.SEQUENCE(5), 6 - _xlfn.SEQUENCE(1,5)),        X3="90 CW", INDEX($C4:$G8, 6 - _xlfn.SEQUENCE(1,5), _xlfn.SEQUENCE(5)),          X3="90 CCW", INDEX($C4:$G8, _xlfn.SEQUENCE(1,5), 6 - _xlfn.SEQUENCE(5)),         X3="Shift Up", IF(_xlfn.SEQUENCE(5)+1&lt;=5, INDEX($C4:$G8, _xlfn.SEQUENCE(5)+1, _xlfn.SEQUENCE(1,5)), 0),         X3="Shift Down", IF(_xlfn.SEQUENCE(5)-1&gt;=1, INDEX($C4:$G8, _xlfn.SEQUENCE(5)-1, _xlfn.SEQUENCE(1,5)), 0),         X3="Shift Left",   IF(_xlfn.SEQUENCE(1,5)+1&lt;=5, INDEX($C4:$G8, _xlfn.SEQUENCE(5), _xlfn.SEQUENCE(1,5)+1),0),         X3= "Shift Right",  IF(_xlfn.SEQUENCE(1,5)-1&gt;=1, INDEX($C4:$G8, _xlfn.SEQUENCE(5), _xlfn.SEQUENCE(1,5)-1), 0),        X3="Noise",  _xlfn.MAP($C4:$G8 + (_xlfn.RANDARRAY(ROWS($C4:$G8), COLUMNS($C4:$G8)) - 0.5) * 0.4, _xlfn.LAMBDA(_xlpm.x, MAX(0, MIN(1, _xlpm.x)))))</f>
        <v>0.23189843539738109</v>
      </c>
      <c r="Y4" s="5">
        <f ca="1"/>
        <v>0.20412302298094787</v>
      </c>
      <c r="Z4" s="5">
        <f ca="1"/>
        <v>0.35168989469336853</v>
      </c>
      <c r="AA4" s="5">
        <f ca="1"/>
        <v>0.5304013929202761</v>
      </c>
      <c r="AB4" s="6">
        <f ca="1"/>
        <v>0.22260189188168822</v>
      </c>
      <c r="AC4" s="3"/>
      <c r="AD4" s="3"/>
      <c r="AE4" s="4" cm="1">
        <f t="array" aca="1" ref="AE4:AI8" ca="1">_xlfn.IFS(AE3="None",  $C4:$G8*0,           AE3="Horizontal Flip", INDEX($C4:$G8, _xlfn.SEQUENCE(5), 6 - _xlfn.SEQUENCE(1,5)),        AE3="Vertical Flip", INDEX($C4:$G8, 6 - _xlfn.SEQUENCE(5), _xlfn.SEQUENCE(1,5)),      AE3="180 Rotation", INDEX($C4:$G8, 6 - _xlfn.SEQUENCE(5), 6 - _xlfn.SEQUENCE(1,5)),        AE3="90 CW", INDEX($C4:$G8, 6 - _xlfn.SEQUENCE(1,5), _xlfn.SEQUENCE(5)),          AE3="90 CCW", INDEX($C4:$G8, _xlfn.SEQUENCE(1,5), 6 - _xlfn.SEQUENCE(5)),         AE3="Shift Up", IF(_xlfn.SEQUENCE(5)+1&lt;=5, INDEX($C4:$G8, _xlfn.SEQUENCE(5)+1, _xlfn.SEQUENCE(1,5)), 0),         AE3="Shift Down", IF(_xlfn.SEQUENCE(5)-1&gt;=1, INDEX($C4:$G8, _xlfn.SEQUENCE(5)-1, _xlfn.SEQUENCE(1,5)), 0),         AE3="Shift Left",   IF(_xlfn.SEQUENCE(1,5)+1&lt;=5, INDEX($C4:$G8, _xlfn.SEQUENCE(5), _xlfn.SEQUENCE(1,5)+1),0),         AE3= "Shift Right",  IF(_xlfn.SEQUENCE(1,5)-1&gt;=1, INDEX($C4:$G8, _xlfn.SEQUENCE(5), _xlfn.SEQUENCE(1,5)-1), 0),        AE3="Noise",  _xlfn.MAP($C4:$G8 + (_xlfn.RANDARRAY(ROWS($C4:$G8), COLUMNS($C4:$G8)) - 0.5) * 0.4, _xlfn.LAMBDA(_xlpm.x, MAX(0, MIN(1, _xlpm.x)))))</f>
        <v>0.62984699181888459</v>
      </c>
      <c r="AF4" s="5">
        <f ca="1"/>
        <v>1</v>
      </c>
      <c r="AG4" s="5">
        <f ca="1"/>
        <v>0.29821821441268659</v>
      </c>
      <c r="AH4" s="5">
        <f ca="1"/>
        <v>1</v>
      </c>
      <c r="AI4" s="6">
        <f ca="1"/>
        <v>0.20412302298094787</v>
      </c>
      <c r="AJ4" s="3"/>
      <c r="AK4" s="3"/>
      <c r="AL4" s="4" cm="1">
        <f t="array" aca="1" ref="AL4:AP8" ca="1">_xlfn.IFS(AL3="None",  $C4:$G8*0,           AL3="Horizontal Flip", INDEX($C4:$G8, _xlfn.SEQUENCE(5), 6 - _xlfn.SEQUENCE(1,5)),        AL3="Vertical Flip", INDEX($C4:$G8, 6 - _xlfn.SEQUENCE(5), _xlfn.SEQUENCE(1,5)),      AL3="180 Rotation", INDEX($C4:$G8, 6 - _xlfn.SEQUENCE(5), 6 - _xlfn.SEQUENCE(1,5)),        AL3="90 CW", INDEX($C4:$G8, 6 - _xlfn.SEQUENCE(1,5), _xlfn.SEQUENCE(5)),          AL3="90 CCW", INDEX($C4:$G8, _xlfn.SEQUENCE(1,5), 6 - _xlfn.SEQUENCE(5)),         AL3="Shift Up", IF(_xlfn.SEQUENCE(5)+1&lt;=5, INDEX($C4:$G8, _xlfn.SEQUENCE(5)+1, _xlfn.SEQUENCE(1,5)), 0),         AL3="Shift Down", IF(_xlfn.SEQUENCE(5)-1&gt;=1, INDEX($C4:$G8, _xlfn.SEQUENCE(5)-1, _xlfn.SEQUENCE(1,5)), 0),         AL3="Shift Left",   IF(_xlfn.SEQUENCE(1,5)+1&lt;=5, INDEX($C4:$G8, _xlfn.SEQUENCE(5), _xlfn.SEQUENCE(1,5)+1),0),         AL3= "Shift Right",  IF(_xlfn.SEQUENCE(1,5)-1&gt;=1, INDEX($C4:$G8, _xlfn.SEQUENCE(5), _xlfn.SEQUENCE(1,5)-1), 0),        AL3="Noise",  _xlfn.MAP($C4:$G8 + (_xlfn.RANDARRAY(ROWS($C4:$G8), COLUMNS($C4:$G8)) - 0.5) * 0.4, _xlfn.LAMBDA(_xlpm.x, MAX(0, MIN(1, _xlpm.x)))))</f>
        <v>0</v>
      </c>
      <c r="AM4" s="5">
        <f ca="1"/>
        <v>0</v>
      </c>
      <c r="AN4" s="5">
        <f ca="1"/>
        <v>0</v>
      </c>
      <c r="AO4" s="5">
        <f ca="1"/>
        <v>0</v>
      </c>
      <c r="AP4" s="6">
        <f ca="1"/>
        <v>0</v>
      </c>
      <c r="AQ4" s="3"/>
      <c r="AR4" s="3"/>
      <c r="AS4" s="4" cm="1">
        <f t="array" aca="1" ref="AS4:AW8" ca="1">_xlfn.IFS(AS3="None",  $C4:$G8*0,           AS3="Horizontal Flip", INDEX($C4:$G8, _xlfn.SEQUENCE(5), 6 - _xlfn.SEQUENCE(1,5)),        AS3="Vertical Flip", INDEX($C4:$G8, 6 - _xlfn.SEQUENCE(5), _xlfn.SEQUENCE(1,5)),      AS3="180 Rotation", INDEX($C4:$G8, 6 - _xlfn.SEQUENCE(5), 6 - _xlfn.SEQUENCE(1,5)),        AS3="90 CW", INDEX($C4:$G8, 6 - _xlfn.SEQUENCE(1,5), _xlfn.SEQUENCE(5)),          AS3="90 CCW", INDEX($C4:$G8, _xlfn.SEQUENCE(1,5), 6 - _xlfn.SEQUENCE(5)),         AS3="Shift Up", IF(_xlfn.SEQUENCE(5)+1&lt;=5, INDEX($C4:$G8, _xlfn.SEQUENCE(5)+1, _xlfn.SEQUENCE(1,5)), 0),         AS3="Shift Down", IF(_xlfn.SEQUENCE(5)-1&gt;=1, INDEX($C4:$G8, _xlfn.SEQUENCE(5)-1, _xlfn.SEQUENCE(1,5)), 0),         AS3="Shift Left",   IF(_xlfn.SEQUENCE(1,5)+1&lt;=5, INDEX($C4:$G8, _xlfn.SEQUENCE(5), _xlfn.SEQUENCE(1,5)+1),0),         AS3= "Shift Right",  IF(_xlfn.SEQUENCE(1,5)-1&gt;=1, INDEX($C4:$G8, _xlfn.SEQUENCE(5), _xlfn.SEQUENCE(1,5)-1), 0),        AS3="Noise",  _xlfn.MAP($C4:$G8 + (_xlfn.RANDARRAY(ROWS($C4:$G8), COLUMNS($C4:$G8)) - 0.5) * 0.4, _xlfn.LAMBDA(_xlpm.x, MAX(0, MIN(1, _xlpm.x)))))</f>
        <v>1</v>
      </c>
      <c r="AT4" s="5">
        <f ca="1"/>
        <v>1</v>
      </c>
      <c r="AU4" s="5">
        <f ca="1"/>
        <v>1</v>
      </c>
      <c r="AV4" s="5">
        <f ca="1"/>
        <v>0.23189843539738109</v>
      </c>
      <c r="AW4" s="6">
        <f ca="1"/>
        <v>0</v>
      </c>
      <c r="AX4" s="3"/>
      <c r="AY4" s="3"/>
      <c r="AZ4" s="4" cm="1">
        <f t="array" aca="1" ref="AZ4:BD8" ca="1">_xlfn.IFS(AZ3="None",  $C4:$G8*0,           AZ3="Horizontal Flip", INDEX($C4:$G8, _xlfn.SEQUENCE(5), 6 - _xlfn.SEQUENCE(1,5)),        AZ3="Vertical Flip", INDEX($C4:$G8, 6 - _xlfn.SEQUENCE(5), _xlfn.SEQUENCE(1,5)),      AZ3="180 Rotation", INDEX($C4:$G8, 6 - _xlfn.SEQUENCE(5), 6 - _xlfn.SEQUENCE(1,5)),        AZ3="90 CW", INDEX($C4:$G8, 6 - _xlfn.SEQUENCE(1,5), _xlfn.SEQUENCE(5)),          AZ3="90 CCW", INDEX($C4:$G8, _xlfn.SEQUENCE(1,5), 6 - _xlfn.SEQUENCE(5)),         AZ3="Shift Up", IF(_xlfn.SEQUENCE(5)+1&lt;=5, INDEX($C4:$G8, _xlfn.SEQUENCE(5)+1, _xlfn.SEQUENCE(1,5)), 0),         AZ3="Shift Down", IF(_xlfn.SEQUENCE(5)-1&gt;=1, INDEX($C4:$G8, _xlfn.SEQUENCE(5)-1, _xlfn.SEQUENCE(1,5)), 0),         AZ3="Shift Left",   IF(_xlfn.SEQUENCE(1,5)+1&lt;=5, INDEX($C4:$G8, _xlfn.SEQUENCE(5), _xlfn.SEQUENCE(1,5)+1),0),         AZ3= "Shift Right",  IF(_xlfn.SEQUENCE(1,5)-1&gt;=1, INDEX($C4:$G8, _xlfn.SEQUENCE(5), _xlfn.SEQUENCE(1,5)-1), 0),        AZ3="Noise",  _xlfn.MAP($C4:$G8 + (_xlfn.RANDARRAY(ROWS($C4:$G8), COLUMNS($C4:$G8)) - 0.5) * 0.4, _xlfn.LAMBDA(_xlpm.x, MAX(0, MIN(1, _xlpm.x)))))</f>
        <v>0.22260189188168822</v>
      </c>
      <c r="BA4" s="5">
        <f ca="1"/>
        <v>0.64781383089559441</v>
      </c>
      <c r="BB4" s="5">
        <f ca="1"/>
        <v>0.61593869529044076</v>
      </c>
      <c r="BC4" s="5">
        <f ca="1"/>
        <v>0.38883352858279174</v>
      </c>
      <c r="BD4" s="6">
        <f ca="1"/>
        <v>0.63892938486000916</v>
      </c>
      <c r="BE4" s="3"/>
      <c r="BG4" s="4" cm="1">
        <f t="array" aca="1" ref="BG4:BK8" ca="1">_xlfn.IFS(BG3="None",  $C4:$G8*0,           BG3="Horizontal Flip", INDEX($C4:$G8, _xlfn.SEQUENCE(5), 6 - _xlfn.SEQUENCE(1,5)),        BG3="Vertical Flip", INDEX($C4:$G8, 6 - _xlfn.SEQUENCE(5), _xlfn.SEQUENCE(1,5)),      BG3="180 Rotation", INDEX($C4:$G8, 6 - _xlfn.SEQUENCE(5), 6 - _xlfn.SEQUENCE(1,5)),        BG3="90 CW", INDEX($C4:$G8, 6 - _xlfn.SEQUENCE(1,5), _xlfn.SEQUENCE(5)),          BG3="90 CCW", INDEX($C4:$G8, _xlfn.SEQUENCE(1,5), 6 - _xlfn.SEQUENCE(5)),         BG3="Shift Up", IF(_xlfn.SEQUENCE(5)+1&lt;=5, INDEX($C4:$G8, _xlfn.SEQUENCE(5)+1, _xlfn.SEQUENCE(1,5)), 0),         BG3="Shift Down", IF(_xlfn.SEQUENCE(5)-1&gt;=1, INDEX($C4:$G8, _xlfn.SEQUENCE(5)-1, _xlfn.SEQUENCE(1,5)), 0),         BG3="Shift Left",   IF(_xlfn.SEQUENCE(1,5)+1&lt;=5, INDEX($C4:$G8, _xlfn.SEQUENCE(5), _xlfn.SEQUENCE(1,5)+1),0),         BG3= "Shift Right",  IF(_xlfn.SEQUENCE(1,5)-1&gt;=1, INDEX($C4:$G8, _xlfn.SEQUENCE(5), _xlfn.SEQUENCE(1,5)-1), 0),        BG3="Noise",  _xlfn.MAP($C4:$G8 + (_xlfn.RANDARRAY(ROWS($C4:$G8), COLUMNS($C4:$G8)) - 0.5) * 0.4, _xlfn.LAMBDA(_xlpm.x, MAX(0, MIN(1, _xlpm.x)))))</f>
        <v>0.2882512062699672</v>
      </c>
      <c r="BH4" s="5">
        <f ca="1"/>
        <v>0.94840055912275945</v>
      </c>
      <c r="BI4" s="5">
        <f ca="1"/>
        <v>0.9556410344182511</v>
      </c>
      <c r="BJ4" s="5">
        <f ca="1"/>
        <v>1</v>
      </c>
      <c r="BK4" s="6">
        <f ca="1"/>
        <v>0.24367981037004524</v>
      </c>
      <c r="BL4" s="3"/>
      <c r="BM4" s="3"/>
      <c r="BN4" s="4" cm="1">
        <f t="array" aca="1" ref="BN4:BR8" ca="1">_xlfn.IFS(BN3="None",  $C4:$G8*0,           BN3="Horizontal Flip", INDEX($C4:$G8, _xlfn.SEQUENCE(5), 6 - _xlfn.SEQUENCE(1,5)),        BN3="Vertical Flip", INDEX($C4:$G8, 6 - _xlfn.SEQUENCE(5), _xlfn.SEQUENCE(1,5)),      BN3="180 Rotation", INDEX($C4:$G8, 6 - _xlfn.SEQUENCE(5), 6 - _xlfn.SEQUENCE(1,5)),        BN3="90 CW", INDEX($C4:$G8, 6 - _xlfn.SEQUENCE(1,5), _xlfn.SEQUENCE(5)),          BN3="90 CCW", INDEX($C4:$G8, _xlfn.SEQUENCE(1,5), 6 - _xlfn.SEQUENCE(5)),         BN3="Shift Up", IF(_xlfn.SEQUENCE(5)+1&lt;=5, INDEX($C4:$G8, _xlfn.SEQUENCE(5)+1, _xlfn.SEQUENCE(1,5)), 0),         BN3="Shift Down", IF(_xlfn.SEQUENCE(5)-1&gt;=1, INDEX($C4:$G8, _xlfn.SEQUENCE(5)-1, _xlfn.SEQUENCE(1,5)), 0),         BN3="Shift Left",   IF(_xlfn.SEQUENCE(1,5)+1&lt;=5, INDEX($C4:$G8, _xlfn.SEQUENCE(5), _xlfn.SEQUENCE(1,5)+1),0),         BN3= "Shift Right",  IF(_xlfn.SEQUENCE(1,5)-1&gt;=1, INDEX($C4:$G8, _xlfn.SEQUENCE(5), _xlfn.SEQUENCE(1,5)-1), 0),        BN3="Noise",  _xlfn.MAP($C4:$G8 + (_xlfn.RANDARRAY(ROWS($C4:$G8), COLUMNS($C4:$G8)) - 0.5) * 0.4, _xlfn.LAMBDA(_xlpm.x, MAX(0, MIN(1, _xlpm.x)))))</f>
        <v>0.23189843539738109</v>
      </c>
      <c r="BO4" s="5">
        <f ca="1"/>
        <v>1</v>
      </c>
      <c r="BP4" s="5">
        <f ca="1"/>
        <v>1</v>
      </c>
      <c r="BQ4" s="5">
        <f ca="1"/>
        <v>1</v>
      </c>
      <c r="BR4" s="6">
        <f ca="1"/>
        <v>0.19397268734601947</v>
      </c>
      <c r="BS4" s="3"/>
      <c r="BU4" s="4" cm="1">
        <f t="array" aca="1" ref="BU4:BY8" ca="1">_xlfn.IFS(BU3="None",  $C4:$G8*0,           BU3="Horizontal Flip", INDEX($C4:$G8, _xlfn.SEQUENCE(5), 6 - _xlfn.SEQUENCE(1,5)),        BU3="Vertical Flip", INDEX($C4:$G8, 6 - _xlfn.SEQUENCE(5), _xlfn.SEQUENCE(1,5)),      BU3="180 Rotation", INDEX($C4:$G8, 6 - _xlfn.SEQUENCE(5), 6 - _xlfn.SEQUENCE(1,5)),        BU3="90 CW", INDEX($C4:$G8, 6 - _xlfn.SEQUENCE(1,5), _xlfn.SEQUENCE(5)),          BU3="90 CCW", INDEX($C4:$G8, _xlfn.SEQUENCE(1,5), 6 - _xlfn.SEQUENCE(5)),         BU3="Shift Up", IF(_xlfn.SEQUENCE(5)+1&lt;=5, INDEX($C4:$G8, _xlfn.SEQUENCE(5)+1, _xlfn.SEQUENCE(1,5)), 0),         BU3="Shift Down", IF(_xlfn.SEQUENCE(5)-1&gt;=1, INDEX($C4:$G8, _xlfn.SEQUENCE(5)-1, _xlfn.SEQUENCE(1,5)), 0),         BU3="Shift Left",   IF(_xlfn.SEQUENCE(1,5)+1&lt;=5, INDEX($C4:$G8, _xlfn.SEQUENCE(5), _xlfn.SEQUENCE(1,5)+1),0),         BU3= "Shift Right",  IF(_xlfn.SEQUENCE(1,5)-1&gt;=1, INDEX($C4:$G8, _xlfn.SEQUENCE(5), _xlfn.SEQUENCE(1,5)-1), 0),        BU3="Noise",  _xlfn.MAP($C4:$G8 + (_xlfn.RANDARRAY(ROWS($C4:$G8), COLUMNS($C4:$G8)) - 0.5) * 0.4, _xlfn.LAMBDA(_xlpm.x, MAX(0, MIN(1, _xlpm.x)))))</f>
        <v>0.63892938486000916</v>
      </c>
      <c r="BV4" s="5">
        <f ca="1"/>
        <v>0.5734765356210334</v>
      </c>
      <c r="BW4" s="5">
        <f ca="1"/>
        <v>0.58778718612041947</v>
      </c>
      <c r="BX4" s="5">
        <f ca="1"/>
        <v>0.62984699181888459</v>
      </c>
      <c r="BY4" s="6">
        <f ca="1"/>
        <v>0.19397268734601947</v>
      </c>
      <c r="CA4" s="29"/>
      <c r="CC4" s="91"/>
      <c r="CD4" s="92" t="s">
        <v>80</v>
      </c>
      <c r="CE4" s="87" t="s">
        <v>99</v>
      </c>
      <c r="CF4" s="88"/>
      <c r="CG4" s="88"/>
      <c r="CH4" s="88"/>
    </row>
    <row r="5" spans="1:86" s="1" customFormat="1" ht="18" customHeight="1" x14ac:dyDescent="0.2">
      <c r="A5" s="7"/>
      <c r="B5" s="99"/>
      <c r="C5" s="7">
        <v>0.62984699181888459</v>
      </c>
      <c r="D5" s="3">
        <v>1</v>
      </c>
      <c r="E5" s="3">
        <v>0.29821821441268659</v>
      </c>
      <c r="F5" s="3">
        <v>1</v>
      </c>
      <c r="G5" s="8">
        <v>0.20412302298094787</v>
      </c>
      <c r="H5" s="3"/>
      <c r="I5" s="3"/>
      <c r="J5" s="7">
        <f ca="1"/>
        <v>0.5734765356210334</v>
      </c>
      <c r="K5" s="3">
        <f ca="1"/>
        <v>1</v>
      </c>
      <c r="L5" s="3">
        <f ca="1"/>
        <v>1</v>
      </c>
      <c r="M5" s="3">
        <f ca="1"/>
        <v>1</v>
      </c>
      <c r="N5" s="8">
        <f ca="1"/>
        <v>0.5304013929202761</v>
      </c>
      <c r="O5" s="3"/>
      <c r="P5" s="3"/>
      <c r="Q5" s="7">
        <f ca="1"/>
        <v>0</v>
      </c>
      <c r="R5" s="3">
        <f ca="1"/>
        <v>0.62984699181888459</v>
      </c>
      <c r="S5" s="3">
        <f ca="1"/>
        <v>1</v>
      </c>
      <c r="T5" s="3">
        <f ca="1"/>
        <v>0.29821821441268659</v>
      </c>
      <c r="U5" s="8">
        <f ca="1"/>
        <v>1</v>
      </c>
      <c r="V5" s="3"/>
      <c r="W5" s="3"/>
      <c r="X5" s="7">
        <f ca="1"/>
        <v>1</v>
      </c>
      <c r="Y5" s="3">
        <f ca="1"/>
        <v>1</v>
      </c>
      <c r="Z5" s="3">
        <f ca="1"/>
        <v>1</v>
      </c>
      <c r="AA5" s="3">
        <f ca="1"/>
        <v>1</v>
      </c>
      <c r="AB5" s="8">
        <f ca="1"/>
        <v>0.64781383089559441</v>
      </c>
      <c r="AC5" s="3"/>
      <c r="AD5" s="3"/>
      <c r="AE5" s="7">
        <f ca="1"/>
        <v>0.58778718612041947</v>
      </c>
      <c r="AF5" s="3">
        <f ca="1"/>
        <v>1</v>
      </c>
      <c r="AG5" s="3">
        <f ca="1"/>
        <v>0.36306764584441065</v>
      </c>
      <c r="AH5" s="3">
        <f ca="1"/>
        <v>1</v>
      </c>
      <c r="AI5" s="8">
        <f ca="1"/>
        <v>0.35168989469336853</v>
      </c>
      <c r="AJ5" s="3"/>
      <c r="AK5" s="3"/>
      <c r="AL5" s="7">
        <f ca="1"/>
        <v>0.19397268734601947</v>
      </c>
      <c r="AM5" s="3">
        <f ca="1"/>
        <v>1</v>
      </c>
      <c r="AN5" s="3">
        <f ca="1"/>
        <v>1</v>
      </c>
      <c r="AO5" s="3">
        <f ca="1"/>
        <v>1</v>
      </c>
      <c r="AP5" s="8">
        <f ca="1"/>
        <v>0.23189843539738109</v>
      </c>
      <c r="AQ5" s="3"/>
      <c r="AR5" s="3"/>
      <c r="AS5" s="7">
        <f ca="1"/>
        <v>1</v>
      </c>
      <c r="AT5" s="3">
        <f ca="1"/>
        <v>0.29821821441268659</v>
      </c>
      <c r="AU5" s="3">
        <f ca="1"/>
        <v>1</v>
      </c>
      <c r="AV5" s="3">
        <f ca="1"/>
        <v>0.20412302298094787</v>
      </c>
      <c r="AW5" s="8">
        <f ca="1"/>
        <v>0</v>
      </c>
      <c r="AX5" s="3"/>
      <c r="AY5" s="3"/>
      <c r="AZ5" s="7">
        <f ca="1"/>
        <v>0.5304013929202761</v>
      </c>
      <c r="BA5" s="3">
        <f ca="1"/>
        <v>1</v>
      </c>
      <c r="BB5" s="3">
        <f ca="1"/>
        <v>1</v>
      </c>
      <c r="BC5" s="3">
        <f ca="1"/>
        <v>1</v>
      </c>
      <c r="BD5" s="8">
        <f ca="1"/>
        <v>0.5734765356210334</v>
      </c>
      <c r="BE5" s="3"/>
      <c r="BG5" s="7">
        <f ca="1"/>
        <v>0.66375278924446046</v>
      </c>
      <c r="BH5" s="3">
        <f ca="1"/>
        <v>1</v>
      </c>
      <c r="BI5" s="3">
        <f ca="1"/>
        <v>0.13003226266386542</v>
      </c>
      <c r="BJ5" s="3">
        <f ca="1"/>
        <v>1</v>
      </c>
      <c r="BK5" s="8">
        <f ca="1"/>
        <v>5.4417977513425059E-2</v>
      </c>
      <c r="BL5" s="3"/>
      <c r="BM5" s="3"/>
      <c r="BN5" s="7">
        <f ca="1"/>
        <v>0.20412302298094787</v>
      </c>
      <c r="BO5" s="3">
        <f ca="1"/>
        <v>1</v>
      </c>
      <c r="BP5" s="3">
        <f ca="1"/>
        <v>0.29821821441268659</v>
      </c>
      <c r="BQ5" s="3">
        <f ca="1"/>
        <v>1</v>
      </c>
      <c r="BR5" s="8">
        <f ca="1"/>
        <v>0.62984699181888459</v>
      </c>
      <c r="BS5" s="3"/>
      <c r="BU5" s="7">
        <f ca="1"/>
        <v>0.38883352858279174</v>
      </c>
      <c r="BV5" s="3">
        <f ca="1"/>
        <v>1</v>
      </c>
      <c r="BW5" s="3">
        <f ca="1"/>
        <v>1</v>
      </c>
      <c r="BX5" s="3">
        <f ca="1"/>
        <v>1</v>
      </c>
      <c r="BY5" s="8">
        <f ca="1"/>
        <v>1</v>
      </c>
      <c r="CA5" s="29"/>
      <c r="CC5" s="91"/>
      <c r="CD5" s="92" t="s">
        <v>79</v>
      </c>
      <c r="CE5" s="87">
        <v>11</v>
      </c>
      <c r="CF5" s="88"/>
      <c r="CG5" s="88"/>
      <c r="CH5" s="88"/>
    </row>
    <row r="6" spans="1:86" s="1" customFormat="1" ht="18" customHeight="1" x14ac:dyDescent="0.2">
      <c r="A6" s="7"/>
      <c r="B6" s="99"/>
      <c r="C6" s="7">
        <v>0.58778718612041947</v>
      </c>
      <c r="D6" s="3">
        <v>1</v>
      </c>
      <c r="E6" s="3">
        <v>0.36306764584441065</v>
      </c>
      <c r="F6" s="3">
        <v>1</v>
      </c>
      <c r="G6" s="8">
        <v>0.35168989469336853</v>
      </c>
      <c r="H6" s="3"/>
      <c r="I6" s="3"/>
      <c r="J6" s="7">
        <f ca="1"/>
        <v>0.58778718612041947</v>
      </c>
      <c r="K6" s="3">
        <f ca="1"/>
        <v>1</v>
      </c>
      <c r="L6" s="3">
        <f ca="1"/>
        <v>0.36306764584441065</v>
      </c>
      <c r="M6" s="3">
        <f ca="1"/>
        <v>1</v>
      </c>
      <c r="N6" s="8">
        <f ca="1"/>
        <v>0.35168989469336853</v>
      </c>
      <c r="O6" s="3"/>
      <c r="P6" s="3"/>
      <c r="Q6" s="7">
        <f ca="1"/>
        <v>0</v>
      </c>
      <c r="R6" s="3">
        <f ca="1"/>
        <v>0.58778718612041947</v>
      </c>
      <c r="S6" s="3">
        <f ca="1"/>
        <v>1</v>
      </c>
      <c r="T6" s="3">
        <f ca="1"/>
        <v>0.36306764584441065</v>
      </c>
      <c r="U6" s="8">
        <f ca="1"/>
        <v>1</v>
      </c>
      <c r="V6" s="3"/>
      <c r="W6" s="3"/>
      <c r="X6" s="7">
        <f ca="1"/>
        <v>1</v>
      </c>
      <c r="Y6" s="3">
        <f ca="1"/>
        <v>0.29821821441268659</v>
      </c>
      <c r="Z6" s="3">
        <f ca="1"/>
        <v>0.36306764584441065</v>
      </c>
      <c r="AA6" s="3">
        <f ca="1"/>
        <v>1</v>
      </c>
      <c r="AB6" s="8">
        <f ca="1"/>
        <v>0.61593869529044076</v>
      </c>
      <c r="AC6" s="3"/>
      <c r="AD6" s="3"/>
      <c r="AE6" s="7">
        <f ca="1"/>
        <v>0.5734765356210334</v>
      </c>
      <c r="AF6" s="3">
        <f ca="1"/>
        <v>1</v>
      </c>
      <c r="AG6" s="3">
        <f ca="1"/>
        <v>1</v>
      </c>
      <c r="AH6" s="3">
        <f ca="1"/>
        <v>1</v>
      </c>
      <c r="AI6" s="8">
        <f ca="1"/>
        <v>0.5304013929202761</v>
      </c>
      <c r="AJ6" s="3"/>
      <c r="AK6" s="3"/>
      <c r="AL6" s="7">
        <f ca="1"/>
        <v>0.62984699181888459</v>
      </c>
      <c r="AM6" s="3">
        <f ca="1"/>
        <v>1</v>
      </c>
      <c r="AN6" s="3">
        <f ca="1"/>
        <v>0.29821821441268659</v>
      </c>
      <c r="AO6" s="3">
        <f ca="1"/>
        <v>1</v>
      </c>
      <c r="AP6" s="8">
        <f ca="1"/>
        <v>0.20412302298094787</v>
      </c>
      <c r="AQ6" s="3"/>
      <c r="AR6" s="3"/>
      <c r="AS6" s="7">
        <f ca="1"/>
        <v>1</v>
      </c>
      <c r="AT6" s="3">
        <f ca="1"/>
        <v>0.36306764584441065</v>
      </c>
      <c r="AU6" s="3">
        <f ca="1"/>
        <v>1</v>
      </c>
      <c r="AV6" s="3">
        <f ca="1"/>
        <v>0.35168989469336853</v>
      </c>
      <c r="AW6" s="8">
        <f ca="1"/>
        <v>0</v>
      </c>
      <c r="AX6" s="3"/>
      <c r="AY6" s="3"/>
      <c r="AZ6" s="7">
        <f ca="1"/>
        <v>0.35168989469336853</v>
      </c>
      <c r="BA6" s="3">
        <f ca="1"/>
        <v>1</v>
      </c>
      <c r="BB6" s="3">
        <f ca="1"/>
        <v>0.36306764584441065</v>
      </c>
      <c r="BC6" s="3">
        <f ca="1"/>
        <v>1</v>
      </c>
      <c r="BD6" s="8">
        <f ca="1"/>
        <v>0.58778718612041947</v>
      </c>
      <c r="BE6" s="3"/>
      <c r="BG6" s="7">
        <f ca="1"/>
        <v>0.45106540548350083</v>
      </c>
      <c r="BH6" s="3">
        <f ca="1"/>
        <v>1</v>
      </c>
      <c r="BI6" s="3">
        <f ca="1"/>
        <v>0.47401027201227275</v>
      </c>
      <c r="BJ6" s="3">
        <f ca="1"/>
        <v>0.85016636995592099</v>
      </c>
      <c r="BK6" s="8">
        <f ca="1"/>
        <v>0.45328993646682497</v>
      </c>
      <c r="BL6" s="3"/>
      <c r="BM6" s="3"/>
      <c r="BN6" s="7">
        <f ca="1"/>
        <v>0.35168989469336853</v>
      </c>
      <c r="BO6" s="3">
        <f ca="1"/>
        <v>1</v>
      </c>
      <c r="BP6" s="3">
        <f ca="1"/>
        <v>0.36306764584441065</v>
      </c>
      <c r="BQ6" s="3">
        <f ca="1"/>
        <v>1</v>
      </c>
      <c r="BR6" s="8">
        <f ca="1"/>
        <v>0.58778718612041947</v>
      </c>
      <c r="BS6" s="3"/>
      <c r="BU6" s="7">
        <f ca="1"/>
        <v>0.61593869529044076</v>
      </c>
      <c r="BV6" s="3">
        <f ca="1"/>
        <v>1</v>
      </c>
      <c r="BW6" s="3">
        <f ca="1"/>
        <v>0.36306764584441065</v>
      </c>
      <c r="BX6" s="3">
        <f ca="1"/>
        <v>0.29821821441268659</v>
      </c>
      <c r="BY6" s="8">
        <f ca="1"/>
        <v>1</v>
      </c>
      <c r="CA6" s="29"/>
      <c r="CC6" s="91"/>
      <c r="CD6" s="92" t="s">
        <v>97</v>
      </c>
      <c r="CE6" s="87">
        <v>5</v>
      </c>
      <c r="CF6" s="88"/>
      <c r="CG6" s="88"/>
      <c r="CH6" s="88"/>
    </row>
    <row r="7" spans="1:86" s="1" customFormat="1" ht="18" customHeight="1" x14ac:dyDescent="0.2">
      <c r="A7" s="7"/>
      <c r="B7" s="99"/>
      <c r="C7" s="7">
        <v>0.5734765356210334</v>
      </c>
      <c r="D7" s="3">
        <v>1</v>
      </c>
      <c r="E7" s="3">
        <v>1</v>
      </c>
      <c r="F7" s="3">
        <v>1</v>
      </c>
      <c r="G7" s="8">
        <v>0.5304013929202761</v>
      </c>
      <c r="H7" s="3"/>
      <c r="I7" s="3"/>
      <c r="J7" s="7">
        <f ca="1"/>
        <v>0.62984699181888459</v>
      </c>
      <c r="K7" s="3">
        <f ca="1"/>
        <v>1</v>
      </c>
      <c r="L7" s="3">
        <f ca="1"/>
        <v>0.29821821441268659</v>
      </c>
      <c r="M7" s="3">
        <f ca="1"/>
        <v>1</v>
      </c>
      <c r="N7" s="8">
        <f ca="1"/>
        <v>0.20412302298094787</v>
      </c>
      <c r="O7" s="3"/>
      <c r="P7" s="3"/>
      <c r="Q7" s="7">
        <f ca="1"/>
        <v>0</v>
      </c>
      <c r="R7" s="3">
        <f ca="1"/>
        <v>0.5734765356210334</v>
      </c>
      <c r="S7" s="3">
        <f ca="1"/>
        <v>1</v>
      </c>
      <c r="T7" s="3">
        <f ca="1"/>
        <v>1</v>
      </c>
      <c r="U7" s="8">
        <f ca="1"/>
        <v>1</v>
      </c>
      <c r="V7" s="3"/>
      <c r="W7" s="3"/>
      <c r="X7" s="7">
        <f ca="1"/>
        <v>1</v>
      </c>
      <c r="Y7" s="3">
        <f ca="1"/>
        <v>1</v>
      </c>
      <c r="Z7" s="3">
        <f ca="1"/>
        <v>1</v>
      </c>
      <c r="AA7" s="3">
        <f ca="1"/>
        <v>1</v>
      </c>
      <c r="AB7" s="8">
        <f ca="1"/>
        <v>0.38883352858279174</v>
      </c>
      <c r="AC7" s="3"/>
      <c r="AD7" s="3"/>
      <c r="AE7" s="7">
        <f ca="1"/>
        <v>0.63892938486000916</v>
      </c>
      <c r="AF7" s="3">
        <f ca="1"/>
        <v>0.38883352858279174</v>
      </c>
      <c r="AG7" s="3">
        <f ca="1"/>
        <v>0.61593869529044076</v>
      </c>
      <c r="AH7" s="3">
        <f ca="1"/>
        <v>0.64781383089559441</v>
      </c>
      <c r="AI7" s="8">
        <f ca="1"/>
        <v>0.22260189188168822</v>
      </c>
      <c r="AJ7" s="3"/>
      <c r="AK7" s="3"/>
      <c r="AL7" s="7">
        <f ca="1"/>
        <v>0.58778718612041947</v>
      </c>
      <c r="AM7" s="3">
        <f ca="1"/>
        <v>1</v>
      </c>
      <c r="AN7" s="3">
        <f ca="1"/>
        <v>0.36306764584441065</v>
      </c>
      <c r="AO7" s="3">
        <f ca="1"/>
        <v>1</v>
      </c>
      <c r="AP7" s="8">
        <f ca="1"/>
        <v>0.35168989469336853</v>
      </c>
      <c r="AQ7" s="3"/>
      <c r="AR7" s="3"/>
      <c r="AS7" s="7">
        <f ca="1"/>
        <v>1</v>
      </c>
      <c r="AT7" s="3">
        <f ca="1"/>
        <v>1</v>
      </c>
      <c r="AU7" s="3">
        <f ca="1"/>
        <v>1</v>
      </c>
      <c r="AV7" s="3">
        <f ca="1"/>
        <v>0.5304013929202761</v>
      </c>
      <c r="AW7" s="8">
        <f ca="1"/>
        <v>0</v>
      </c>
      <c r="AX7" s="3"/>
      <c r="AY7" s="3"/>
      <c r="AZ7" s="7">
        <f ca="1"/>
        <v>0.20412302298094787</v>
      </c>
      <c r="BA7" s="3">
        <f ca="1"/>
        <v>1</v>
      </c>
      <c r="BB7" s="3">
        <f ca="1"/>
        <v>0.29821821441268659</v>
      </c>
      <c r="BC7" s="3">
        <f ca="1"/>
        <v>1</v>
      </c>
      <c r="BD7" s="8">
        <f ca="1"/>
        <v>0.62984699181888459</v>
      </c>
      <c r="BE7" s="3"/>
      <c r="BG7" s="7">
        <f ca="1"/>
        <v>0.62149275351069377</v>
      </c>
      <c r="BH7" s="3">
        <f ca="1"/>
        <v>0.97659090630140066</v>
      </c>
      <c r="BI7" s="3">
        <f ca="1"/>
        <v>1</v>
      </c>
      <c r="BJ7" s="3">
        <f ca="1"/>
        <v>1</v>
      </c>
      <c r="BK7" s="8">
        <f ca="1"/>
        <v>0.62590366041803347</v>
      </c>
      <c r="BL7" s="3"/>
      <c r="BM7" s="3"/>
      <c r="BN7" s="7">
        <f ca="1"/>
        <v>0.5304013929202761</v>
      </c>
      <c r="BO7" s="3">
        <f ca="1"/>
        <v>1</v>
      </c>
      <c r="BP7" s="3">
        <f ca="1"/>
        <v>1</v>
      </c>
      <c r="BQ7" s="3">
        <f ca="1"/>
        <v>1</v>
      </c>
      <c r="BR7" s="8">
        <f ca="1"/>
        <v>0.5734765356210334</v>
      </c>
      <c r="BS7" s="3"/>
      <c r="BU7" s="7">
        <f ca="1"/>
        <v>0.64781383089559441</v>
      </c>
      <c r="BV7" s="3">
        <f ca="1"/>
        <v>1</v>
      </c>
      <c r="BW7" s="3">
        <f ca="1"/>
        <v>1</v>
      </c>
      <c r="BX7" s="3">
        <f ca="1"/>
        <v>1</v>
      </c>
      <c r="BY7" s="8">
        <f ca="1"/>
        <v>1</v>
      </c>
      <c r="CA7" s="29"/>
      <c r="CC7" s="93"/>
      <c r="CD7" s="94" t="s">
        <v>98</v>
      </c>
      <c r="CE7" s="89">
        <v>5</v>
      </c>
      <c r="CF7" s="90"/>
      <c r="CG7" s="90"/>
      <c r="CH7" s="90"/>
    </row>
    <row r="8" spans="1:86" s="1" customFormat="1" ht="18" customHeight="1" thickBot="1" x14ac:dyDescent="0.25">
      <c r="A8" s="7"/>
      <c r="B8" s="99"/>
      <c r="C8" s="9">
        <v>0.63892938486000916</v>
      </c>
      <c r="D8" s="10">
        <v>0.38883352858279174</v>
      </c>
      <c r="E8" s="10">
        <v>0.61593869529044076</v>
      </c>
      <c r="F8" s="10">
        <v>0.64781383089559441</v>
      </c>
      <c r="G8" s="11">
        <v>0.22260189188168822</v>
      </c>
      <c r="H8" s="3"/>
      <c r="I8" s="3"/>
      <c r="J8" s="9">
        <f ca="1"/>
        <v>0.19397268734601947</v>
      </c>
      <c r="K8" s="10">
        <f ca="1"/>
        <v>1</v>
      </c>
      <c r="L8" s="10">
        <f ca="1"/>
        <v>1</v>
      </c>
      <c r="M8" s="10">
        <f ca="1"/>
        <v>1</v>
      </c>
      <c r="N8" s="11">
        <f ca="1"/>
        <v>0.23189843539738109</v>
      </c>
      <c r="O8" s="3"/>
      <c r="P8" s="3"/>
      <c r="Q8" s="9">
        <f ca="1"/>
        <v>0</v>
      </c>
      <c r="R8" s="10">
        <f ca="1"/>
        <v>0.63892938486000916</v>
      </c>
      <c r="S8" s="10">
        <f ca="1"/>
        <v>0.38883352858279174</v>
      </c>
      <c r="T8" s="10">
        <f ca="1"/>
        <v>0.61593869529044076</v>
      </c>
      <c r="U8" s="11">
        <f ca="1"/>
        <v>0.64781383089559441</v>
      </c>
      <c r="V8" s="3"/>
      <c r="W8" s="3"/>
      <c r="X8" s="9">
        <f ca="1"/>
        <v>0.19397268734601947</v>
      </c>
      <c r="Y8" s="10">
        <f ca="1"/>
        <v>0.62984699181888459</v>
      </c>
      <c r="Z8" s="10">
        <f ca="1"/>
        <v>0.58778718612041947</v>
      </c>
      <c r="AA8" s="10">
        <f ca="1"/>
        <v>0.5734765356210334</v>
      </c>
      <c r="AB8" s="11">
        <f ca="1"/>
        <v>0.63892938486000916</v>
      </c>
      <c r="AC8" s="3"/>
      <c r="AD8" s="3"/>
      <c r="AE8" s="9">
        <f ca="1"/>
        <v>0</v>
      </c>
      <c r="AF8" s="10">
        <f ca="1"/>
        <v>0</v>
      </c>
      <c r="AG8" s="10">
        <f ca="1"/>
        <v>0</v>
      </c>
      <c r="AH8" s="10">
        <f ca="1"/>
        <v>0</v>
      </c>
      <c r="AI8" s="11">
        <f ca="1"/>
        <v>0</v>
      </c>
      <c r="AJ8" s="3"/>
      <c r="AK8" s="3"/>
      <c r="AL8" s="9">
        <f ca="1"/>
        <v>0.5734765356210334</v>
      </c>
      <c r="AM8" s="10">
        <f ca="1"/>
        <v>1</v>
      </c>
      <c r="AN8" s="10">
        <f ca="1"/>
        <v>1</v>
      </c>
      <c r="AO8" s="10">
        <f ca="1"/>
        <v>1</v>
      </c>
      <c r="AP8" s="11">
        <f ca="1"/>
        <v>0.5304013929202761</v>
      </c>
      <c r="AQ8" s="3"/>
      <c r="AR8" s="3"/>
      <c r="AS8" s="9">
        <f ca="1"/>
        <v>0.38883352858279174</v>
      </c>
      <c r="AT8" s="10">
        <f ca="1"/>
        <v>0.61593869529044076</v>
      </c>
      <c r="AU8" s="10">
        <f ca="1"/>
        <v>0.64781383089559441</v>
      </c>
      <c r="AV8" s="10">
        <f ca="1"/>
        <v>0.22260189188168822</v>
      </c>
      <c r="AW8" s="11">
        <f ca="1"/>
        <v>0</v>
      </c>
      <c r="AX8" s="3"/>
      <c r="AY8" s="3"/>
      <c r="AZ8" s="9">
        <f ca="1"/>
        <v>0.23189843539738109</v>
      </c>
      <c r="BA8" s="10">
        <f ca="1"/>
        <v>1</v>
      </c>
      <c r="BB8" s="10">
        <f ca="1"/>
        <v>1</v>
      </c>
      <c r="BC8" s="10">
        <f ca="1"/>
        <v>1</v>
      </c>
      <c r="BD8" s="11">
        <f ca="1"/>
        <v>0.19397268734601947</v>
      </c>
      <c r="BE8" s="3"/>
      <c r="BG8" s="9">
        <f ca="1"/>
        <v>0.62391442532465569</v>
      </c>
      <c r="BH8" s="10">
        <f ca="1"/>
        <v>0.54867582755224276</v>
      </c>
      <c r="BI8" s="10">
        <f ca="1"/>
        <v>0.76793361482019196</v>
      </c>
      <c r="BJ8" s="10">
        <f ca="1"/>
        <v>0.59984873298961083</v>
      </c>
      <c r="BK8" s="11">
        <f ca="1"/>
        <v>0.32585521877258866</v>
      </c>
      <c r="BL8" s="3"/>
      <c r="BM8" s="3"/>
      <c r="BN8" s="9">
        <f ca="1"/>
        <v>0.22260189188168822</v>
      </c>
      <c r="BO8" s="10">
        <f ca="1"/>
        <v>0.64781383089559441</v>
      </c>
      <c r="BP8" s="10">
        <f ca="1"/>
        <v>0.61593869529044076</v>
      </c>
      <c r="BQ8" s="10">
        <f ca="1"/>
        <v>0.38883352858279174</v>
      </c>
      <c r="BR8" s="11">
        <f ca="1"/>
        <v>0.63892938486000916</v>
      </c>
      <c r="BS8" s="3"/>
      <c r="BU8" s="9">
        <f ca="1"/>
        <v>0.22260189188168822</v>
      </c>
      <c r="BV8" s="10">
        <f ca="1"/>
        <v>0.5304013929202761</v>
      </c>
      <c r="BW8" s="10">
        <f ca="1"/>
        <v>0.35168989469336853</v>
      </c>
      <c r="BX8" s="10">
        <f ca="1"/>
        <v>0.20412302298094787</v>
      </c>
      <c r="BY8" s="11">
        <f ca="1"/>
        <v>0.23189843539738109</v>
      </c>
      <c r="CA8" s="29"/>
    </row>
    <row r="9" spans="1:86" s="1" customFormat="1" ht="18" customHeight="1" x14ac:dyDescent="0.2">
      <c r="A9" s="7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U9" s="3"/>
      <c r="BV9" s="3"/>
      <c r="BW9" s="3"/>
      <c r="BX9" s="3"/>
      <c r="BY9" s="3"/>
      <c r="CA9" s="29"/>
    </row>
    <row r="10" spans="1:86" s="1" customFormat="1" ht="18" customHeight="1" thickBot="1" x14ac:dyDescent="0.25">
      <c r="A10" s="7"/>
      <c r="B10" s="99">
        <v>1</v>
      </c>
      <c r="C10" s="97" t="s">
        <v>12</v>
      </c>
      <c r="D10" s="97"/>
      <c r="E10" s="97"/>
      <c r="F10" s="97"/>
      <c r="G10" s="97"/>
      <c r="H10" s="28"/>
      <c r="I10" s="3"/>
      <c r="J10" s="97" t="str" cm="1">
        <f t="array" aca="1" ref="J10" ca="1">INDEX(Helper!$E$13:$E$22, OFFSET(Helper!$J$13,$B10,J$2))</f>
        <v>Vertical Flip</v>
      </c>
      <c r="K10" s="97"/>
      <c r="L10" s="97"/>
      <c r="M10" s="97"/>
      <c r="N10" s="97"/>
      <c r="O10" s="3"/>
      <c r="P10" s="28"/>
      <c r="Q10" s="97" t="str" cm="1">
        <f t="array" aca="1" ref="Q10" ca="1">INDEX(Helper!$E$13:$E$22, OFFSET(Helper!$J$13,$B10,Q$2))</f>
        <v>Horizontal Flip</v>
      </c>
      <c r="R10" s="97"/>
      <c r="S10" s="97"/>
      <c r="T10" s="97"/>
      <c r="U10" s="97"/>
      <c r="V10" s="3"/>
      <c r="W10" s="28"/>
      <c r="X10" s="97" t="str" cm="1">
        <f t="array" aca="1" ref="X10" ca="1">INDEX(Helper!$E$13:$E$22, OFFSET(Helper!$J$13,$B10,X$2))</f>
        <v>Shift Right</v>
      </c>
      <c r="Y10" s="97"/>
      <c r="Z10" s="97"/>
      <c r="AA10" s="97"/>
      <c r="AB10" s="97"/>
      <c r="AC10" s="3"/>
      <c r="AD10" s="28"/>
      <c r="AE10" s="97" t="str" cm="1">
        <f t="array" aca="1" ref="AE10" ca="1">INDEX(Helper!$E$13:$E$22, OFFSET(Helper!$J$13,$B10,AE$2))</f>
        <v>90 CW</v>
      </c>
      <c r="AF10" s="97"/>
      <c r="AG10" s="97"/>
      <c r="AH10" s="97"/>
      <c r="AI10" s="97"/>
      <c r="AJ10" s="3"/>
      <c r="AK10" s="28"/>
      <c r="AL10" s="97" t="str" cm="1">
        <f t="array" aca="1" ref="AL10" ca="1">INDEX(Helper!$E$13:$E$22, OFFSET(Helper!$J$13,$B10,AL$2))</f>
        <v>Shift Left</v>
      </c>
      <c r="AM10" s="97"/>
      <c r="AN10" s="97"/>
      <c r="AO10" s="97"/>
      <c r="AP10" s="97"/>
      <c r="AQ10" s="3"/>
      <c r="AR10" s="3"/>
      <c r="AS10" s="97" t="str" cm="1">
        <f t="array" aca="1" ref="AS10" ca="1">INDEX(Helper!$E$13:$E$22, OFFSET(Helper!$J$13,$B10,AS$2))</f>
        <v>Noise</v>
      </c>
      <c r="AT10" s="97"/>
      <c r="AU10" s="97"/>
      <c r="AV10" s="97"/>
      <c r="AW10" s="97"/>
      <c r="AX10" s="3"/>
      <c r="AY10" s="3"/>
      <c r="AZ10" s="97" t="str" cm="1">
        <f t="array" aca="1" ref="AZ10" ca="1">INDEX(Helper!$E$13:$E$22, OFFSET(Helper!$J$13,$B10,AZ$2))</f>
        <v>180 Rotation</v>
      </c>
      <c r="BA10" s="97"/>
      <c r="BB10" s="97"/>
      <c r="BC10" s="97"/>
      <c r="BD10" s="97"/>
      <c r="BE10" s="3"/>
      <c r="BG10" s="97" t="str" cm="1">
        <f t="array" aca="1" ref="BG10" ca="1">INDEX(Helper!$E$13:$E$22, OFFSET(Helper!$J$13,$B10,BG$2))</f>
        <v>Shift Down</v>
      </c>
      <c r="BH10" s="97"/>
      <c r="BI10" s="97"/>
      <c r="BJ10" s="97"/>
      <c r="BK10" s="97"/>
      <c r="BL10" s="3"/>
      <c r="BM10" s="3"/>
      <c r="BN10" s="97" t="str" cm="1">
        <f t="array" aca="1" ref="BN10" ca="1">INDEX(Helper!$E$13:$E$22, OFFSET(Helper!$J$13,$B10,BN$2))</f>
        <v>90 CCW</v>
      </c>
      <c r="BO10" s="97"/>
      <c r="BP10" s="97"/>
      <c r="BQ10" s="97"/>
      <c r="BR10" s="97"/>
      <c r="BS10" s="3"/>
      <c r="BU10" s="97" t="str" cm="1">
        <f t="array" aca="1" ref="BU10" ca="1">INDEX(Helper!$E$13:$E$22, OFFSET(Helper!$J$13,$B10,BU$2))</f>
        <v>Shift Up</v>
      </c>
      <c r="BV10" s="97"/>
      <c r="BW10" s="97"/>
      <c r="BX10" s="97"/>
      <c r="BY10" s="97"/>
      <c r="CA10" s="29"/>
    </row>
    <row r="11" spans="1:86" s="1" customFormat="1" ht="18" customHeight="1" x14ac:dyDescent="0.2">
      <c r="A11" s="7"/>
      <c r="B11" s="99"/>
      <c r="C11" s="4">
        <v>0.49852125027675898</v>
      </c>
      <c r="D11" s="5">
        <v>0.32578388831833338</v>
      </c>
      <c r="E11" s="5">
        <v>1</v>
      </c>
      <c r="F11" s="5">
        <v>0.23722850910311943</v>
      </c>
      <c r="G11" s="6">
        <v>0.57956457740781953</v>
      </c>
      <c r="H11" s="3"/>
      <c r="I11" s="3"/>
      <c r="J11" s="4" cm="1">
        <f t="array" aca="1" ref="J11:N15" ca="1">_xlfn.IFS(J10="None",  $C11:$G15*0,           J10="Horizontal Flip", INDEX($C11:$G15, _xlfn.SEQUENCE(5), 6 - _xlfn.SEQUENCE(1,5)),        J10="Vertical Flip", INDEX($C11:$G15, 6 - _xlfn.SEQUENCE(5), _xlfn.SEQUENCE(1,5)),      J10="180 Rotation", INDEX($C11:$G15, 6 - _xlfn.SEQUENCE(5), 6 - _xlfn.SEQUENCE(1,5)),        J10="90 CW", INDEX($C11:$G15, 6 - _xlfn.SEQUENCE(1,5), _xlfn.SEQUENCE(5)),          J10="90 CCW", INDEX($C11:$G15, _xlfn.SEQUENCE(1,5), 6 - _xlfn.SEQUENCE(5)),         J10="Shift Up", IF(_xlfn.SEQUENCE(5)+1&lt;=5, INDEX($C11:$G15, _xlfn.SEQUENCE(5)+1, _xlfn.SEQUENCE(1,5)), 0),         J10="Shift Down", IF(_xlfn.SEQUENCE(5)-1&gt;=1, INDEX($C11:$G15, _xlfn.SEQUENCE(5)-1, _xlfn.SEQUENCE(1,5)), 0),         J10="Shift Left",   IF(_xlfn.SEQUENCE(1,5)+1&lt;=5, INDEX($C11:$G15, _xlfn.SEQUENCE(5), _xlfn.SEQUENCE(1,5)+1),0),         J10= "Shift Right",  IF(_xlfn.SEQUENCE(1,5)-1&gt;=1, INDEX($C11:$G15, _xlfn.SEQUENCE(5), _xlfn.SEQUENCE(1,5)-1), 0),        J10="Noise",  _xlfn.MAP($C11:$G15 + (_xlfn.RANDARRAY(ROWS($C11:$G15), COLUMNS($C11:$G15)) - 0.5) * 0.4, _xlfn.LAMBDA(_xlpm.x, MAX(0, MIN(1, _xlpm.x)))))</f>
        <v>0.33432835099577984</v>
      </c>
      <c r="K11" s="5">
        <f ca="1"/>
        <v>1</v>
      </c>
      <c r="L11" s="5">
        <f ca="1"/>
        <v>1</v>
      </c>
      <c r="M11" s="5">
        <f ca="1"/>
        <v>1</v>
      </c>
      <c r="N11" s="6">
        <f ca="1"/>
        <v>0.1822231626746742</v>
      </c>
      <c r="O11" s="3"/>
      <c r="P11" s="3"/>
      <c r="Q11" s="4" cm="1">
        <f t="array" aca="1" ref="Q11:U15" ca="1">_xlfn.IFS(Q10="None",  $C11:$G15*0,           Q10="Horizontal Flip", INDEX($C11:$G15, _xlfn.SEQUENCE(5), 6 - _xlfn.SEQUENCE(1,5)),        Q10="Vertical Flip", INDEX($C11:$G15, 6 - _xlfn.SEQUENCE(5), _xlfn.SEQUENCE(1,5)),      Q10="180 Rotation", INDEX($C11:$G15, 6 - _xlfn.SEQUENCE(5), 6 - _xlfn.SEQUENCE(1,5)),        Q10="90 CW", INDEX($C11:$G15, 6 - _xlfn.SEQUENCE(1,5), _xlfn.SEQUENCE(5)),          Q10="90 CCW", INDEX($C11:$G15, _xlfn.SEQUENCE(1,5), 6 - _xlfn.SEQUENCE(5)),         Q10="Shift Up", IF(_xlfn.SEQUENCE(5)+1&lt;=5, INDEX($C11:$G15, _xlfn.SEQUENCE(5)+1, _xlfn.SEQUENCE(1,5)), 0),         Q10="Shift Down", IF(_xlfn.SEQUENCE(5)-1&gt;=1, INDEX($C11:$G15, _xlfn.SEQUENCE(5)-1, _xlfn.SEQUENCE(1,5)), 0),         Q10="Shift Left",   IF(_xlfn.SEQUENCE(1,5)+1&lt;=5, INDEX($C11:$G15, _xlfn.SEQUENCE(5), _xlfn.SEQUENCE(1,5)+1),0),         Q10= "Shift Right",  IF(_xlfn.SEQUENCE(1,5)-1&gt;=1, INDEX($C11:$G15, _xlfn.SEQUENCE(5), _xlfn.SEQUENCE(1,5)-1), 0),        Q10="Noise",  _xlfn.MAP($C11:$G15 + (_xlfn.RANDARRAY(ROWS($C11:$G15), COLUMNS($C11:$G15)) - 0.5) * 0.4, _xlfn.LAMBDA(_xlpm.x, MAX(0, MIN(1, _xlpm.x)))))</f>
        <v>0.57956457740781953</v>
      </c>
      <c r="R11" s="5">
        <f ca="1"/>
        <v>0.23722850910311943</v>
      </c>
      <c r="S11" s="5">
        <f ca="1"/>
        <v>1</v>
      </c>
      <c r="T11" s="5">
        <f ca="1"/>
        <v>0.32578388831833338</v>
      </c>
      <c r="U11" s="6">
        <f ca="1"/>
        <v>0.49852125027675898</v>
      </c>
      <c r="V11" s="3"/>
      <c r="W11" s="3"/>
      <c r="X11" s="4" cm="1">
        <f t="array" aca="1" ref="X11:AB15" ca="1">_xlfn.IFS(X10="None",  $C11:$G15*0,           X10="Horizontal Flip", INDEX($C11:$G15, _xlfn.SEQUENCE(5), 6 - _xlfn.SEQUENCE(1,5)),        X10="Vertical Flip", INDEX($C11:$G15, 6 - _xlfn.SEQUENCE(5), _xlfn.SEQUENCE(1,5)),      X10="180 Rotation", INDEX($C11:$G15, 6 - _xlfn.SEQUENCE(5), 6 - _xlfn.SEQUENCE(1,5)),        X10="90 CW", INDEX($C11:$G15, 6 - _xlfn.SEQUENCE(1,5), _xlfn.SEQUENCE(5)),          X10="90 CCW", INDEX($C11:$G15, _xlfn.SEQUENCE(1,5), 6 - _xlfn.SEQUENCE(5)),         X10="Shift Up", IF(_xlfn.SEQUENCE(5)+1&lt;=5, INDEX($C11:$G15, _xlfn.SEQUENCE(5)+1, _xlfn.SEQUENCE(1,5)), 0),         X10="Shift Down", IF(_xlfn.SEQUENCE(5)-1&gt;=1, INDEX($C11:$G15, _xlfn.SEQUENCE(5)-1, _xlfn.SEQUENCE(1,5)), 0),         X10="Shift Left",   IF(_xlfn.SEQUENCE(1,5)+1&lt;=5, INDEX($C11:$G15, _xlfn.SEQUENCE(5), _xlfn.SEQUENCE(1,5)+1),0),         X10= "Shift Right",  IF(_xlfn.SEQUENCE(1,5)-1&gt;=1, INDEX($C11:$G15, _xlfn.SEQUENCE(5), _xlfn.SEQUENCE(1,5)-1), 0),        X10="Noise",  _xlfn.MAP($C11:$G15 + (_xlfn.RANDARRAY(ROWS($C11:$G15), COLUMNS($C11:$G15)) - 0.5) * 0.4, _xlfn.LAMBDA(_xlpm.x, MAX(0, MIN(1, _xlpm.x)))))</f>
        <v>0</v>
      </c>
      <c r="Y11" s="5">
        <f ca="1"/>
        <v>0.49852125027675898</v>
      </c>
      <c r="Z11" s="5">
        <f ca="1"/>
        <v>0.32578388831833338</v>
      </c>
      <c r="AA11" s="5">
        <f ca="1"/>
        <v>1</v>
      </c>
      <c r="AB11" s="6">
        <f ca="1"/>
        <v>0.23722850910311943</v>
      </c>
      <c r="AC11" s="3"/>
      <c r="AD11" s="3"/>
      <c r="AE11" s="4" cm="1">
        <f t="array" aca="1" ref="AE11:AI15" ca="1">_xlfn.IFS(AE10="None",  $C11:$G15*0,           AE10="Horizontal Flip", INDEX($C11:$G15, _xlfn.SEQUENCE(5), 6 - _xlfn.SEQUENCE(1,5)),        AE10="Vertical Flip", INDEX($C11:$G15, 6 - _xlfn.SEQUENCE(5), _xlfn.SEQUENCE(1,5)),      AE10="180 Rotation", INDEX($C11:$G15, 6 - _xlfn.SEQUENCE(5), 6 - _xlfn.SEQUENCE(1,5)),        AE10="90 CW", INDEX($C11:$G15, 6 - _xlfn.SEQUENCE(1,5), _xlfn.SEQUENCE(5)),          AE10="90 CCW", INDEX($C11:$G15, _xlfn.SEQUENCE(1,5), 6 - _xlfn.SEQUENCE(5)),         AE10="Shift Up", IF(_xlfn.SEQUENCE(5)+1&lt;=5, INDEX($C11:$G15, _xlfn.SEQUENCE(5)+1, _xlfn.SEQUENCE(1,5)), 0),         AE10="Shift Down", IF(_xlfn.SEQUENCE(5)-1&gt;=1, INDEX($C11:$G15, _xlfn.SEQUENCE(5)-1, _xlfn.SEQUENCE(1,5)), 0),         AE10="Shift Left",   IF(_xlfn.SEQUENCE(1,5)+1&lt;=5, INDEX($C11:$G15, _xlfn.SEQUENCE(5), _xlfn.SEQUENCE(1,5)+1),0),         AE10= "Shift Right",  IF(_xlfn.SEQUENCE(1,5)-1&gt;=1, INDEX($C11:$G15, _xlfn.SEQUENCE(5), _xlfn.SEQUENCE(1,5)-1), 0),        AE10="Noise",  _xlfn.MAP($C11:$G15 + (_xlfn.RANDARRAY(ROWS($C11:$G15), COLUMNS($C11:$G15)) - 0.5) * 0.4, _xlfn.LAMBDA(_xlpm.x, MAX(0, MIN(1, _xlpm.x)))))</f>
        <v>0.33432835099577984</v>
      </c>
      <c r="AF11" s="5">
        <f ca="1"/>
        <v>0.36064881895624057</v>
      </c>
      <c r="AG11" s="5">
        <f ca="1"/>
        <v>0.29327062365299439</v>
      </c>
      <c r="AH11" s="5">
        <f ca="1"/>
        <v>0.52525198154330088</v>
      </c>
      <c r="AI11" s="6">
        <f ca="1"/>
        <v>0.49852125027675898</v>
      </c>
      <c r="AJ11" s="3"/>
      <c r="AK11" s="3"/>
      <c r="AL11" s="4" cm="1">
        <f t="array" aca="1" ref="AL11:AP15" ca="1">_xlfn.IFS(AL10="None",  $C11:$G15*0,           AL10="Horizontal Flip", INDEX($C11:$G15, _xlfn.SEQUENCE(5), 6 - _xlfn.SEQUENCE(1,5)),        AL10="Vertical Flip", INDEX($C11:$G15, 6 - _xlfn.SEQUENCE(5), _xlfn.SEQUENCE(1,5)),      AL10="180 Rotation", INDEX($C11:$G15, 6 - _xlfn.SEQUENCE(5), 6 - _xlfn.SEQUENCE(1,5)),        AL10="90 CW", INDEX($C11:$G15, 6 - _xlfn.SEQUENCE(1,5), _xlfn.SEQUENCE(5)),          AL10="90 CCW", INDEX($C11:$G15, _xlfn.SEQUENCE(1,5), 6 - _xlfn.SEQUENCE(5)),         AL10="Shift Up", IF(_xlfn.SEQUENCE(5)+1&lt;=5, INDEX($C11:$G15, _xlfn.SEQUENCE(5)+1, _xlfn.SEQUENCE(1,5)), 0),         AL10="Shift Down", IF(_xlfn.SEQUENCE(5)-1&gt;=1, INDEX($C11:$G15, _xlfn.SEQUENCE(5)-1, _xlfn.SEQUENCE(1,5)), 0),         AL10="Shift Left",   IF(_xlfn.SEQUENCE(1,5)+1&lt;=5, INDEX($C11:$G15, _xlfn.SEQUENCE(5), _xlfn.SEQUENCE(1,5)+1),0),         AL10= "Shift Right",  IF(_xlfn.SEQUENCE(1,5)-1&gt;=1, INDEX($C11:$G15, _xlfn.SEQUENCE(5), _xlfn.SEQUENCE(1,5)-1), 0),        AL10="Noise",  _xlfn.MAP($C11:$G15 + (_xlfn.RANDARRAY(ROWS($C11:$G15), COLUMNS($C11:$G15)) - 0.5) * 0.4, _xlfn.LAMBDA(_xlpm.x, MAX(0, MIN(1, _xlpm.x)))))</f>
        <v>0.32578388831833338</v>
      </c>
      <c r="AM11" s="5">
        <f ca="1"/>
        <v>1</v>
      </c>
      <c r="AN11" s="5">
        <f ca="1"/>
        <v>0.23722850910311943</v>
      </c>
      <c r="AO11" s="5">
        <f ca="1"/>
        <v>0.57956457740781953</v>
      </c>
      <c r="AP11" s="6">
        <f ca="1"/>
        <v>0</v>
      </c>
      <c r="AQ11" s="3"/>
      <c r="AR11" s="3"/>
      <c r="AS11" s="4" cm="1">
        <f t="array" aca="1" ref="AS11:AW15" ca="1">_xlfn.IFS(AS10="None",  $C11:$G15*0,           AS10="Horizontal Flip", INDEX($C11:$G15, _xlfn.SEQUENCE(5), 6 - _xlfn.SEQUENCE(1,5)),        AS10="Vertical Flip", INDEX($C11:$G15, 6 - _xlfn.SEQUENCE(5), _xlfn.SEQUENCE(1,5)),      AS10="180 Rotation", INDEX($C11:$G15, 6 - _xlfn.SEQUENCE(5), 6 - _xlfn.SEQUENCE(1,5)),        AS10="90 CW", INDEX($C11:$G15, 6 - _xlfn.SEQUENCE(1,5), _xlfn.SEQUENCE(5)),          AS10="90 CCW", INDEX($C11:$G15, _xlfn.SEQUENCE(1,5), 6 - _xlfn.SEQUENCE(5)),         AS10="Shift Up", IF(_xlfn.SEQUENCE(5)+1&lt;=5, INDEX($C11:$G15, _xlfn.SEQUENCE(5)+1, _xlfn.SEQUENCE(1,5)), 0),         AS10="Shift Down", IF(_xlfn.SEQUENCE(5)-1&gt;=1, INDEX($C11:$G15, _xlfn.SEQUENCE(5)-1, _xlfn.SEQUENCE(1,5)), 0),         AS10="Shift Left",   IF(_xlfn.SEQUENCE(1,5)+1&lt;=5, INDEX($C11:$G15, _xlfn.SEQUENCE(5), _xlfn.SEQUENCE(1,5)+1),0),         AS10= "Shift Right",  IF(_xlfn.SEQUENCE(1,5)-1&gt;=1, INDEX($C11:$G15, _xlfn.SEQUENCE(5), _xlfn.SEQUENCE(1,5)-1), 0),        AS10="Noise",  _xlfn.MAP($C11:$G15 + (_xlfn.RANDARRAY(ROWS($C11:$G15), COLUMNS($C11:$G15)) - 0.5) * 0.4, _xlfn.LAMBDA(_xlpm.x, MAX(0, MIN(1, _xlpm.x)))))</f>
        <v>0.34490919831971523</v>
      </c>
      <c r="AT11" s="5">
        <f ca="1"/>
        <v>0.14503662591489347</v>
      </c>
      <c r="AU11" s="5">
        <f ca="1"/>
        <v>1</v>
      </c>
      <c r="AV11" s="5">
        <f ca="1"/>
        <v>0.40891999242884702</v>
      </c>
      <c r="AW11" s="6">
        <f ca="1"/>
        <v>0.70860840530617097</v>
      </c>
      <c r="AX11" s="3"/>
      <c r="AY11" s="3"/>
      <c r="AZ11" s="4" cm="1">
        <f t="array" aca="1" ref="AZ11:BD15" ca="1">_xlfn.IFS(AZ10="None",  $C11:$G15*0,           AZ10="Horizontal Flip", INDEX($C11:$G15, _xlfn.SEQUENCE(5), 6 - _xlfn.SEQUENCE(1,5)),        AZ10="Vertical Flip", INDEX($C11:$G15, 6 - _xlfn.SEQUENCE(5), _xlfn.SEQUENCE(1,5)),      AZ10="180 Rotation", INDEX($C11:$G15, 6 - _xlfn.SEQUENCE(5), 6 - _xlfn.SEQUENCE(1,5)),        AZ10="90 CW", INDEX($C11:$G15, 6 - _xlfn.SEQUENCE(1,5), _xlfn.SEQUENCE(5)),          AZ10="90 CCW", INDEX($C11:$G15, _xlfn.SEQUENCE(1,5), 6 - _xlfn.SEQUENCE(5)),         AZ10="Shift Up", IF(_xlfn.SEQUENCE(5)+1&lt;=5, INDEX($C11:$G15, _xlfn.SEQUENCE(5)+1, _xlfn.SEQUENCE(1,5)), 0),         AZ10="Shift Down", IF(_xlfn.SEQUENCE(5)-1&gt;=1, INDEX($C11:$G15, _xlfn.SEQUENCE(5)-1, _xlfn.SEQUENCE(1,5)), 0),         AZ10="Shift Left",   IF(_xlfn.SEQUENCE(1,5)+1&lt;=5, INDEX($C11:$G15, _xlfn.SEQUENCE(5), _xlfn.SEQUENCE(1,5)+1),0),         AZ10= "Shift Right",  IF(_xlfn.SEQUENCE(1,5)-1&gt;=1, INDEX($C11:$G15, _xlfn.SEQUENCE(5), _xlfn.SEQUENCE(1,5)-1), 0),        AZ10="Noise",  _xlfn.MAP($C11:$G15 + (_xlfn.RANDARRAY(ROWS($C11:$G15), COLUMNS($C11:$G15)) - 0.5) * 0.4, _xlfn.LAMBDA(_xlpm.x, MAX(0, MIN(1, _xlpm.x)))))</f>
        <v>0.1822231626746742</v>
      </c>
      <c r="BA11" s="5">
        <f ca="1"/>
        <v>1</v>
      </c>
      <c r="BB11" s="5">
        <f ca="1"/>
        <v>1</v>
      </c>
      <c r="BC11" s="5">
        <f ca="1"/>
        <v>1</v>
      </c>
      <c r="BD11" s="6">
        <f ca="1"/>
        <v>0.33432835099577984</v>
      </c>
      <c r="BE11" s="3"/>
      <c r="BG11" s="4" cm="1">
        <f t="array" aca="1" ref="BG11:BK15" ca="1">_xlfn.IFS(BG10="None",  $C11:$G15*0,           BG10="Horizontal Flip", INDEX($C11:$G15, _xlfn.SEQUENCE(5), 6 - _xlfn.SEQUENCE(1,5)),        BG10="Vertical Flip", INDEX($C11:$G15, 6 - _xlfn.SEQUENCE(5), _xlfn.SEQUENCE(1,5)),      BG10="180 Rotation", INDEX($C11:$G15, 6 - _xlfn.SEQUENCE(5), 6 - _xlfn.SEQUENCE(1,5)),        BG10="90 CW", INDEX($C11:$G15, 6 - _xlfn.SEQUENCE(1,5), _xlfn.SEQUENCE(5)),          BG10="90 CCW", INDEX($C11:$G15, _xlfn.SEQUENCE(1,5), 6 - _xlfn.SEQUENCE(5)),         BG10="Shift Up", IF(_xlfn.SEQUENCE(5)+1&lt;=5, INDEX($C11:$G15, _xlfn.SEQUENCE(5)+1, _xlfn.SEQUENCE(1,5)), 0),         BG10="Shift Down", IF(_xlfn.SEQUENCE(5)-1&gt;=1, INDEX($C11:$G15, _xlfn.SEQUENCE(5)-1, _xlfn.SEQUENCE(1,5)), 0),         BG10="Shift Left",   IF(_xlfn.SEQUENCE(1,5)+1&lt;=5, INDEX($C11:$G15, _xlfn.SEQUENCE(5), _xlfn.SEQUENCE(1,5)+1),0),         BG10= "Shift Right",  IF(_xlfn.SEQUENCE(1,5)-1&gt;=1, INDEX($C11:$G15, _xlfn.SEQUENCE(5), _xlfn.SEQUENCE(1,5)-1), 0),        BG10="Noise",  _xlfn.MAP($C11:$G15 + (_xlfn.RANDARRAY(ROWS($C11:$G15), COLUMNS($C11:$G15)) - 0.5) * 0.4, _xlfn.LAMBDA(_xlpm.x, MAX(0, MIN(1, _xlpm.x)))))</f>
        <v>0</v>
      </c>
      <c r="BH11" s="5">
        <f ca="1"/>
        <v>0</v>
      </c>
      <c r="BI11" s="5">
        <f ca="1"/>
        <v>0</v>
      </c>
      <c r="BJ11" s="5">
        <f ca="1"/>
        <v>0</v>
      </c>
      <c r="BK11" s="6">
        <f ca="1"/>
        <v>0</v>
      </c>
      <c r="BL11" s="3"/>
      <c r="BM11" s="3"/>
      <c r="BN11" s="4" cm="1">
        <f t="array" aca="1" ref="BN11:BR15" ca="1">_xlfn.IFS(BN10="None",  $C11:$G15*0,           BN10="Horizontal Flip", INDEX($C11:$G15, _xlfn.SEQUENCE(5), 6 - _xlfn.SEQUENCE(1,5)),        BN10="Vertical Flip", INDEX($C11:$G15, 6 - _xlfn.SEQUENCE(5), _xlfn.SEQUENCE(1,5)),      BN10="180 Rotation", INDEX($C11:$G15, 6 - _xlfn.SEQUENCE(5), 6 - _xlfn.SEQUENCE(1,5)),        BN10="90 CW", INDEX($C11:$G15, 6 - _xlfn.SEQUENCE(1,5), _xlfn.SEQUENCE(5)),          BN10="90 CCW", INDEX($C11:$G15, _xlfn.SEQUENCE(1,5), 6 - _xlfn.SEQUENCE(5)),         BN10="Shift Up", IF(_xlfn.SEQUENCE(5)+1&lt;=5, INDEX($C11:$G15, _xlfn.SEQUENCE(5)+1, _xlfn.SEQUENCE(1,5)), 0),         BN10="Shift Down", IF(_xlfn.SEQUENCE(5)-1&gt;=1, INDEX($C11:$G15, _xlfn.SEQUENCE(5)-1, _xlfn.SEQUENCE(1,5)), 0),         BN10="Shift Left",   IF(_xlfn.SEQUENCE(1,5)+1&lt;=5, INDEX($C11:$G15, _xlfn.SEQUENCE(5), _xlfn.SEQUENCE(1,5)+1),0),         BN10= "Shift Right",  IF(_xlfn.SEQUENCE(1,5)-1&gt;=1, INDEX($C11:$G15, _xlfn.SEQUENCE(5), _xlfn.SEQUENCE(1,5)-1), 0),        BN10="Noise",  _xlfn.MAP($C11:$G15 + (_xlfn.RANDARRAY(ROWS($C11:$G15), COLUMNS($C11:$G15)) - 0.5) * 0.4, _xlfn.LAMBDA(_xlpm.x, MAX(0, MIN(1, _xlpm.x)))))</f>
        <v>0.57956457740781953</v>
      </c>
      <c r="BO11" s="5">
        <f ca="1"/>
        <v>0.62339485003993267</v>
      </c>
      <c r="BP11" s="5">
        <f ca="1"/>
        <v>0.44243688278642446</v>
      </c>
      <c r="BQ11" s="5">
        <f ca="1"/>
        <v>0.41742634585988858</v>
      </c>
      <c r="BR11" s="6">
        <f ca="1"/>
        <v>0.1822231626746742</v>
      </c>
      <c r="BS11" s="3"/>
      <c r="BU11" s="4" cm="1">
        <f t="array" aca="1" ref="BU11:BY15" ca="1">_xlfn.IFS(BU10="None",  $C11:$G15*0,           BU10="Horizontal Flip", INDEX($C11:$G15, _xlfn.SEQUENCE(5), 6 - _xlfn.SEQUENCE(1,5)),        BU10="Vertical Flip", INDEX($C11:$G15, 6 - _xlfn.SEQUENCE(5), _xlfn.SEQUENCE(1,5)),      BU10="180 Rotation", INDEX($C11:$G15, 6 - _xlfn.SEQUENCE(5), 6 - _xlfn.SEQUENCE(1,5)),        BU10="90 CW", INDEX($C11:$G15, 6 - _xlfn.SEQUENCE(1,5), _xlfn.SEQUENCE(5)),          BU10="90 CCW", INDEX($C11:$G15, _xlfn.SEQUENCE(1,5), 6 - _xlfn.SEQUENCE(5)),         BU10="Shift Up", IF(_xlfn.SEQUENCE(5)+1&lt;=5, INDEX($C11:$G15, _xlfn.SEQUENCE(5)+1, _xlfn.SEQUENCE(1,5)), 0),         BU10="Shift Down", IF(_xlfn.SEQUENCE(5)-1&gt;=1, INDEX($C11:$G15, _xlfn.SEQUENCE(5)-1, _xlfn.SEQUENCE(1,5)), 0),         BU10="Shift Left",   IF(_xlfn.SEQUENCE(1,5)+1&lt;=5, INDEX($C11:$G15, _xlfn.SEQUENCE(5), _xlfn.SEQUENCE(1,5)+1),0),         BU10= "Shift Right",  IF(_xlfn.SEQUENCE(1,5)-1&gt;=1, INDEX($C11:$G15, _xlfn.SEQUENCE(5), _xlfn.SEQUENCE(1,5)-1), 0),        BU10="Noise",  _xlfn.MAP($C11:$G15 + (_xlfn.RANDARRAY(ROWS($C11:$G15), COLUMNS($C11:$G15)) - 0.5) * 0.4, _xlfn.LAMBDA(_xlpm.x, MAX(0, MIN(1, _xlpm.x)))))</f>
        <v>0.52525198154330088</v>
      </c>
      <c r="BV11" s="5">
        <f ca="1"/>
        <v>1</v>
      </c>
      <c r="BW11" s="5">
        <f ca="1"/>
        <v>1</v>
      </c>
      <c r="BX11" s="5">
        <f ca="1"/>
        <v>0.27029772179629541</v>
      </c>
      <c r="BY11" s="6">
        <f ca="1"/>
        <v>0.62339485003993267</v>
      </c>
      <c r="CA11" s="29"/>
    </row>
    <row r="12" spans="1:86" s="1" customFormat="1" ht="18" customHeight="1" x14ac:dyDescent="0.2">
      <c r="A12" s="7"/>
      <c r="B12" s="99"/>
      <c r="C12" s="7">
        <v>0.52525198154330088</v>
      </c>
      <c r="D12" s="3">
        <v>1</v>
      </c>
      <c r="E12" s="3">
        <v>1</v>
      </c>
      <c r="F12" s="3">
        <v>0.27029772179629541</v>
      </c>
      <c r="G12" s="8">
        <v>0.62339485003993267</v>
      </c>
      <c r="H12" s="3"/>
      <c r="I12" s="3"/>
      <c r="J12" s="7">
        <f ca="1"/>
        <v>0.36064881895624057</v>
      </c>
      <c r="K12" s="3">
        <f ca="1"/>
        <v>0.27631196286468529</v>
      </c>
      <c r="L12" s="3">
        <f ca="1"/>
        <v>1</v>
      </c>
      <c r="M12" s="3">
        <f ca="1"/>
        <v>0.421640843254806</v>
      </c>
      <c r="N12" s="8">
        <f ca="1"/>
        <v>0.41742634585988858</v>
      </c>
      <c r="O12" s="3"/>
      <c r="P12" s="3"/>
      <c r="Q12" s="7">
        <f ca="1"/>
        <v>0.62339485003993267</v>
      </c>
      <c r="R12" s="3">
        <f ca="1"/>
        <v>0.27029772179629541</v>
      </c>
      <c r="S12" s="3">
        <f ca="1"/>
        <v>1</v>
      </c>
      <c r="T12" s="3">
        <f ca="1"/>
        <v>1</v>
      </c>
      <c r="U12" s="8">
        <f ca="1"/>
        <v>0.52525198154330088</v>
      </c>
      <c r="V12" s="3"/>
      <c r="W12" s="3"/>
      <c r="X12" s="7">
        <f ca="1"/>
        <v>0</v>
      </c>
      <c r="Y12" s="3">
        <f ca="1"/>
        <v>0.52525198154330088</v>
      </c>
      <c r="Z12" s="3">
        <f ca="1"/>
        <v>1</v>
      </c>
      <c r="AA12" s="3">
        <f ca="1"/>
        <v>1</v>
      </c>
      <c r="AB12" s="8">
        <f ca="1"/>
        <v>0.27029772179629541</v>
      </c>
      <c r="AC12" s="3"/>
      <c r="AD12" s="3"/>
      <c r="AE12" s="7">
        <f ca="1"/>
        <v>1</v>
      </c>
      <c r="AF12" s="3">
        <f ca="1"/>
        <v>0.27631196286468529</v>
      </c>
      <c r="AG12" s="3">
        <f ca="1"/>
        <v>0.33592483261924033</v>
      </c>
      <c r="AH12" s="3">
        <f ca="1"/>
        <v>1</v>
      </c>
      <c r="AI12" s="8">
        <f ca="1"/>
        <v>0.32578388831833338</v>
      </c>
      <c r="AJ12" s="3"/>
      <c r="AK12" s="3"/>
      <c r="AL12" s="7">
        <f ca="1"/>
        <v>1</v>
      </c>
      <c r="AM12" s="3">
        <f ca="1"/>
        <v>1</v>
      </c>
      <c r="AN12" s="3">
        <f ca="1"/>
        <v>0.27029772179629541</v>
      </c>
      <c r="AO12" s="3">
        <f ca="1"/>
        <v>0.62339485003993267</v>
      </c>
      <c r="AP12" s="8">
        <f ca="1"/>
        <v>0</v>
      </c>
      <c r="AQ12" s="3"/>
      <c r="AR12" s="3"/>
      <c r="AS12" s="7">
        <f ca="1"/>
        <v>0.39514310620628318</v>
      </c>
      <c r="AT12" s="3">
        <f ca="1"/>
        <v>1</v>
      </c>
      <c r="AU12" s="3">
        <f ca="1"/>
        <v>0.96269571841585888</v>
      </c>
      <c r="AV12" s="3">
        <f ca="1"/>
        <v>9.7624119078576571E-2</v>
      </c>
      <c r="AW12" s="8">
        <f ca="1"/>
        <v>0.46604286024537733</v>
      </c>
      <c r="AX12" s="3"/>
      <c r="AY12" s="3"/>
      <c r="AZ12" s="7">
        <f ca="1"/>
        <v>0.41742634585988858</v>
      </c>
      <c r="BA12" s="3">
        <f ca="1"/>
        <v>0.421640843254806</v>
      </c>
      <c r="BB12" s="3">
        <f ca="1"/>
        <v>1</v>
      </c>
      <c r="BC12" s="3">
        <f ca="1"/>
        <v>0.27631196286468529</v>
      </c>
      <c r="BD12" s="8">
        <f ca="1"/>
        <v>0.36064881895624057</v>
      </c>
      <c r="BE12" s="3"/>
      <c r="BG12" s="7">
        <f ca="1"/>
        <v>0.49852125027675898</v>
      </c>
      <c r="BH12" s="3">
        <f ca="1"/>
        <v>0.32578388831833338</v>
      </c>
      <c r="BI12" s="3">
        <f ca="1"/>
        <v>1</v>
      </c>
      <c r="BJ12" s="3">
        <f ca="1"/>
        <v>0.23722850910311943</v>
      </c>
      <c r="BK12" s="8">
        <f ca="1"/>
        <v>0.57956457740781953</v>
      </c>
      <c r="BL12" s="3"/>
      <c r="BM12" s="3"/>
      <c r="BN12" s="7">
        <f ca="1"/>
        <v>0.23722850910311943</v>
      </c>
      <c r="BO12" s="3">
        <f ca="1"/>
        <v>0.27029772179629541</v>
      </c>
      <c r="BP12" s="3">
        <f ca="1"/>
        <v>0.37750740101690017</v>
      </c>
      <c r="BQ12" s="3">
        <f ca="1"/>
        <v>0.421640843254806</v>
      </c>
      <c r="BR12" s="8">
        <f ca="1"/>
        <v>1</v>
      </c>
      <c r="BS12" s="3"/>
      <c r="BU12" s="7">
        <f ca="1"/>
        <v>0.29327062365299439</v>
      </c>
      <c r="BV12" s="3">
        <f ca="1"/>
        <v>0.33592483261924033</v>
      </c>
      <c r="BW12" s="3">
        <f ca="1"/>
        <v>1</v>
      </c>
      <c r="BX12" s="3">
        <f ca="1"/>
        <v>0.37750740101690017</v>
      </c>
      <c r="BY12" s="8">
        <f ca="1"/>
        <v>0.44243688278642446</v>
      </c>
      <c r="CA12" s="29"/>
    </row>
    <row r="13" spans="1:86" s="1" customFormat="1" ht="18" customHeight="1" x14ac:dyDescent="0.2">
      <c r="A13" s="7"/>
      <c r="B13" s="99"/>
      <c r="C13" s="7">
        <v>0.29327062365299439</v>
      </c>
      <c r="D13" s="3">
        <v>0.33592483261924033</v>
      </c>
      <c r="E13" s="3">
        <v>1</v>
      </c>
      <c r="F13" s="3">
        <v>0.37750740101690017</v>
      </c>
      <c r="G13" s="8">
        <v>0.44243688278642446</v>
      </c>
      <c r="H13" s="3"/>
      <c r="I13" s="3"/>
      <c r="J13" s="7">
        <f ca="1"/>
        <v>0.29327062365299439</v>
      </c>
      <c r="K13" s="3">
        <f ca="1"/>
        <v>0.33592483261924033</v>
      </c>
      <c r="L13" s="3">
        <f ca="1"/>
        <v>1</v>
      </c>
      <c r="M13" s="3">
        <f ca="1"/>
        <v>0.37750740101690017</v>
      </c>
      <c r="N13" s="8">
        <f ca="1"/>
        <v>0.44243688278642446</v>
      </c>
      <c r="O13" s="3"/>
      <c r="P13" s="3"/>
      <c r="Q13" s="7">
        <f ca="1"/>
        <v>0.44243688278642446</v>
      </c>
      <c r="R13" s="3">
        <f ca="1"/>
        <v>0.37750740101690017</v>
      </c>
      <c r="S13" s="3">
        <f ca="1"/>
        <v>1</v>
      </c>
      <c r="T13" s="3">
        <f ca="1"/>
        <v>0.33592483261924033</v>
      </c>
      <c r="U13" s="8">
        <f ca="1"/>
        <v>0.29327062365299439</v>
      </c>
      <c r="V13" s="3"/>
      <c r="W13" s="3"/>
      <c r="X13" s="7">
        <f ca="1"/>
        <v>0</v>
      </c>
      <c r="Y13" s="3">
        <f ca="1"/>
        <v>0.29327062365299439</v>
      </c>
      <c r="Z13" s="3">
        <f ca="1"/>
        <v>0.33592483261924033</v>
      </c>
      <c r="AA13" s="3">
        <f ca="1"/>
        <v>1</v>
      </c>
      <c r="AB13" s="8">
        <f ca="1"/>
        <v>0.37750740101690017</v>
      </c>
      <c r="AC13" s="3"/>
      <c r="AD13" s="3"/>
      <c r="AE13" s="7">
        <f ca="1"/>
        <v>1</v>
      </c>
      <c r="AF13" s="3">
        <f ca="1"/>
        <v>1</v>
      </c>
      <c r="AG13" s="3">
        <f ca="1"/>
        <v>1</v>
      </c>
      <c r="AH13" s="3">
        <f ca="1"/>
        <v>1</v>
      </c>
      <c r="AI13" s="8">
        <f ca="1"/>
        <v>1</v>
      </c>
      <c r="AJ13" s="3"/>
      <c r="AK13" s="3"/>
      <c r="AL13" s="7">
        <f ca="1"/>
        <v>0.33592483261924033</v>
      </c>
      <c r="AM13" s="3">
        <f ca="1"/>
        <v>1</v>
      </c>
      <c r="AN13" s="3">
        <f ca="1"/>
        <v>0.37750740101690017</v>
      </c>
      <c r="AO13" s="3">
        <f ca="1"/>
        <v>0.44243688278642446</v>
      </c>
      <c r="AP13" s="8">
        <f ca="1"/>
        <v>0</v>
      </c>
      <c r="AQ13" s="3"/>
      <c r="AR13" s="3"/>
      <c r="AS13" s="7">
        <f ca="1"/>
        <v>0.20813915143410605</v>
      </c>
      <c r="AT13" s="3">
        <f ca="1"/>
        <v>0.42574422962908209</v>
      </c>
      <c r="AU13" s="3">
        <f ca="1"/>
        <v>1</v>
      </c>
      <c r="AV13" s="3">
        <f ca="1"/>
        <v>0.40215103645688222</v>
      </c>
      <c r="AW13" s="8">
        <f ca="1"/>
        <v>0.29936562482517692</v>
      </c>
      <c r="AX13" s="3"/>
      <c r="AY13" s="3"/>
      <c r="AZ13" s="7">
        <f ca="1"/>
        <v>0.44243688278642446</v>
      </c>
      <c r="BA13" s="3">
        <f ca="1"/>
        <v>0.37750740101690017</v>
      </c>
      <c r="BB13" s="3">
        <f ca="1"/>
        <v>1</v>
      </c>
      <c r="BC13" s="3">
        <f ca="1"/>
        <v>0.33592483261924033</v>
      </c>
      <c r="BD13" s="8">
        <f ca="1"/>
        <v>0.29327062365299439</v>
      </c>
      <c r="BE13" s="3"/>
      <c r="BG13" s="7">
        <f ca="1"/>
        <v>0.52525198154330088</v>
      </c>
      <c r="BH13" s="3">
        <f ca="1"/>
        <v>1</v>
      </c>
      <c r="BI13" s="3">
        <f ca="1"/>
        <v>1</v>
      </c>
      <c r="BJ13" s="3">
        <f ca="1"/>
        <v>0.27029772179629541</v>
      </c>
      <c r="BK13" s="8">
        <f ca="1"/>
        <v>0.62339485003993267</v>
      </c>
      <c r="BL13" s="3"/>
      <c r="BM13" s="3"/>
      <c r="BN13" s="7">
        <f ca="1"/>
        <v>1</v>
      </c>
      <c r="BO13" s="3">
        <f ca="1"/>
        <v>1</v>
      </c>
      <c r="BP13" s="3">
        <f ca="1"/>
        <v>1</v>
      </c>
      <c r="BQ13" s="3">
        <f ca="1"/>
        <v>1</v>
      </c>
      <c r="BR13" s="8">
        <f ca="1"/>
        <v>1</v>
      </c>
      <c r="BS13" s="3"/>
      <c r="BU13" s="7">
        <f ca="1"/>
        <v>0.36064881895624057</v>
      </c>
      <c r="BV13" s="3">
        <f ca="1"/>
        <v>0.27631196286468529</v>
      </c>
      <c r="BW13" s="3">
        <f ca="1"/>
        <v>1</v>
      </c>
      <c r="BX13" s="3">
        <f ca="1"/>
        <v>0.421640843254806</v>
      </c>
      <c r="BY13" s="8">
        <f ca="1"/>
        <v>0.41742634585988858</v>
      </c>
      <c r="CA13" s="29"/>
    </row>
    <row r="14" spans="1:86" s="1" customFormat="1" ht="18" customHeight="1" x14ac:dyDescent="0.2">
      <c r="A14" s="7"/>
      <c r="B14" s="99"/>
      <c r="C14" s="7">
        <v>0.36064881895624057</v>
      </c>
      <c r="D14" s="3">
        <v>0.27631196286468529</v>
      </c>
      <c r="E14" s="3">
        <v>1</v>
      </c>
      <c r="F14" s="3">
        <v>0.421640843254806</v>
      </c>
      <c r="G14" s="8">
        <v>0.41742634585988858</v>
      </c>
      <c r="H14" s="3"/>
      <c r="I14" s="3"/>
      <c r="J14" s="7">
        <f ca="1"/>
        <v>0.52525198154330088</v>
      </c>
      <c r="K14" s="3">
        <f ca="1"/>
        <v>1</v>
      </c>
      <c r="L14" s="3">
        <f ca="1"/>
        <v>1</v>
      </c>
      <c r="M14" s="3">
        <f ca="1"/>
        <v>0.27029772179629541</v>
      </c>
      <c r="N14" s="8">
        <f ca="1"/>
        <v>0.62339485003993267</v>
      </c>
      <c r="O14" s="3"/>
      <c r="P14" s="3"/>
      <c r="Q14" s="7">
        <f ca="1"/>
        <v>0.41742634585988858</v>
      </c>
      <c r="R14" s="3">
        <f ca="1"/>
        <v>0.421640843254806</v>
      </c>
      <c r="S14" s="3">
        <f ca="1"/>
        <v>1</v>
      </c>
      <c r="T14" s="3">
        <f ca="1"/>
        <v>0.27631196286468529</v>
      </c>
      <c r="U14" s="8">
        <f ca="1"/>
        <v>0.36064881895624057</v>
      </c>
      <c r="V14" s="3"/>
      <c r="W14" s="3"/>
      <c r="X14" s="7">
        <f ca="1"/>
        <v>0</v>
      </c>
      <c r="Y14" s="3">
        <f ca="1"/>
        <v>0.36064881895624057</v>
      </c>
      <c r="Z14" s="3">
        <f ca="1"/>
        <v>0.27631196286468529</v>
      </c>
      <c r="AA14" s="3">
        <f ca="1"/>
        <v>1</v>
      </c>
      <c r="AB14" s="8">
        <f ca="1"/>
        <v>0.421640843254806</v>
      </c>
      <c r="AC14" s="3"/>
      <c r="AD14" s="3"/>
      <c r="AE14" s="7">
        <f ca="1"/>
        <v>1</v>
      </c>
      <c r="AF14" s="3">
        <f ca="1"/>
        <v>0.421640843254806</v>
      </c>
      <c r="AG14" s="3">
        <f ca="1"/>
        <v>0.37750740101690017</v>
      </c>
      <c r="AH14" s="3">
        <f ca="1"/>
        <v>0.27029772179629541</v>
      </c>
      <c r="AI14" s="8">
        <f ca="1"/>
        <v>0.23722850910311943</v>
      </c>
      <c r="AJ14" s="3"/>
      <c r="AK14" s="3"/>
      <c r="AL14" s="7">
        <f ca="1"/>
        <v>0.27631196286468529</v>
      </c>
      <c r="AM14" s="3">
        <f ca="1"/>
        <v>1</v>
      </c>
      <c r="AN14" s="3">
        <f ca="1"/>
        <v>0.421640843254806</v>
      </c>
      <c r="AO14" s="3">
        <f ca="1"/>
        <v>0.41742634585988858</v>
      </c>
      <c r="AP14" s="8">
        <f ca="1"/>
        <v>0</v>
      </c>
      <c r="AQ14" s="3"/>
      <c r="AR14" s="3"/>
      <c r="AS14" s="7">
        <f ca="1"/>
        <v>0.20677606161979281</v>
      </c>
      <c r="AT14" s="3">
        <f ca="1"/>
        <v>0.40033264040333622</v>
      </c>
      <c r="AU14" s="3">
        <f ca="1"/>
        <v>0.88690199045033669</v>
      </c>
      <c r="AV14" s="3">
        <f ca="1"/>
        <v>0.62078518391233106</v>
      </c>
      <c r="AW14" s="8">
        <f ca="1"/>
        <v>0.34919763631430056</v>
      </c>
      <c r="AX14" s="3"/>
      <c r="AY14" s="3"/>
      <c r="AZ14" s="7">
        <f ca="1"/>
        <v>0.62339485003993267</v>
      </c>
      <c r="BA14" s="3">
        <f ca="1"/>
        <v>0.27029772179629541</v>
      </c>
      <c r="BB14" s="3">
        <f ca="1"/>
        <v>1</v>
      </c>
      <c r="BC14" s="3">
        <f ca="1"/>
        <v>1</v>
      </c>
      <c r="BD14" s="8">
        <f ca="1"/>
        <v>0.52525198154330088</v>
      </c>
      <c r="BE14" s="3"/>
      <c r="BG14" s="7">
        <f ca="1"/>
        <v>0.29327062365299439</v>
      </c>
      <c r="BH14" s="3">
        <f ca="1"/>
        <v>0.33592483261924033</v>
      </c>
      <c r="BI14" s="3">
        <f ca="1"/>
        <v>1</v>
      </c>
      <c r="BJ14" s="3">
        <f ca="1"/>
        <v>0.37750740101690017</v>
      </c>
      <c r="BK14" s="8">
        <f ca="1"/>
        <v>0.44243688278642446</v>
      </c>
      <c r="BL14" s="3"/>
      <c r="BM14" s="3"/>
      <c r="BN14" s="7">
        <f ca="1"/>
        <v>0.32578388831833338</v>
      </c>
      <c r="BO14" s="3">
        <f ca="1"/>
        <v>1</v>
      </c>
      <c r="BP14" s="3">
        <f ca="1"/>
        <v>0.33592483261924033</v>
      </c>
      <c r="BQ14" s="3">
        <f ca="1"/>
        <v>0.27631196286468529</v>
      </c>
      <c r="BR14" s="8">
        <f ca="1"/>
        <v>1</v>
      </c>
      <c r="BS14" s="3"/>
      <c r="BU14" s="7">
        <f ca="1"/>
        <v>0.33432835099577984</v>
      </c>
      <c r="BV14" s="3">
        <f ca="1"/>
        <v>1</v>
      </c>
      <c r="BW14" s="3">
        <f ca="1"/>
        <v>1</v>
      </c>
      <c r="BX14" s="3">
        <f ca="1"/>
        <v>1</v>
      </c>
      <c r="BY14" s="8">
        <f ca="1"/>
        <v>0.1822231626746742</v>
      </c>
      <c r="CA14" s="29"/>
    </row>
    <row r="15" spans="1:86" s="1" customFormat="1" ht="18" customHeight="1" thickBot="1" x14ac:dyDescent="0.25">
      <c r="A15" s="7"/>
      <c r="B15" s="99"/>
      <c r="C15" s="9">
        <v>0.33432835099577984</v>
      </c>
      <c r="D15" s="10">
        <v>1</v>
      </c>
      <c r="E15" s="10">
        <v>1</v>
      </c>
      <c r="F15" s="10">
        <v>1</v>
      </c>
      <c r="G15" s="11">
        <v>0.1822231626746742</v>
      </c>
      <c r="H15" s="3"/>
      <c r="I15" s="3"/>
      <c r="J15" s="9">
        <f ca="1"/>
        <v>0.49852125027675898</v>
      </c>
      <c r="K15" s="10">
        <f ca="1"/>
        <v>0.32578388831833338</v>
      </c>
      <c r="L15" s="10">
        <f ca="1"/>
        <v>1</v>
      </c>
      <c r="M15" s="10">
        <f ca="1"/>
        <v>0.23722850910311943</v>
      </c>
      <c r="N15" s="11">
        <f ca="1"/>
        <v>0.57956457740781953</v>
      </c>
      <c r="O15" s="3"/>
      <c r="P15" s="3"/>
      <c r="Q15" s="9">
        <f ca="1"/>
        <v>0.1822231626746742</v>
      </c>
      <c r="R15" s="10">
        <f ca="1"/>
        <v>1</v>
      </c>
      <c r="S15" s="10">
        <f ca="1"/>
        <v>1</v>
      </c>
      <c r="T15" s="10">
        <f ca="1"/>
        <v>1</v>
      </c>
      <c r="U15" s="11">
        <f ca="1"/>
        <v>0.33432835099577984</v>
      </c>
      <c r="V15" s="3"/>
      <c r="W15" s="3"/>
      <c r="X15" s="9">
        <f ca="1"/>
        <v>0</v>
      </c>
      <c r="Y15" s="10">
        <f ca="1"/>
        <v>0.33432835099577984</v>
      </c>
      <c r="Z15" s="10">
        <f ca="1"/>
        <v>1</v>
      </c>
      <c r="AA15" s="10">
        <f ca="1"/>
        <v>1</v>
      </c>
      <c r="AB15" s="11">
        <f ca="1"/>
        <v>1</v>
      </c>
      <c r="AC15" s="3"/>
      <c r="AD15" s="3"/>
      <c r="AE15" s="9">
        <f ca="1"/>
        <v>0.1822231626746742</v>
      </c>
      <c r="AF15" s="10">
        <f ca="1"/>
        <v>0.41742634585988858</v>
      </c>
      <c r="AG15" s="10">
        <f ca="1"/>
        <v>0.44243688278642446</v>
      </c>
      <c r="AH15" s="10">
        <f ca="1"/>
        <v>0.62339485003993267</v>
      </c>
      <c r="AI15" s="11">
        <f ca="1"/>
        <v>0.57956457740781953</v>
      </c>
      <c r="AJ15" s="3"/>
      <c r="AK15" s="3"/>
      <c r="AL15" s="9">
        <f ca="1"/>
        <v>1</v>
      </c>
      <c r="AM15" s="10">
        <f ca="1"/>
        <v>1</v>
      </c>
      <c r="AN15" s="10">
        <f ca="1"/>
        <v>1</v>
      </c>
      <c r="AO15" s="10">
        <f ca="1"/>
        <v>0.1822231626746742</v>
      </c>
      <c r="AP15" s="11">
        <f ca="1"/>
        <v>0</v>
      </c>
      <c r="AQ15" s="3"/>
      <c r="AR15" s="3"/>
      <c r="AS15" s="9">
        <f ca="1"/>
        <v>0.16831778511779963</v>
      </c>
      <c r="AT15" s="10">
        <f ca="1"/>
        <v>1</v>
      </c>
      <c r="AU15" s="10">
        <f ca="1"/>
        <v>1</v>
      </c>
      <c r="AV15" s="10">
        <f ca="1"/>
        <v>0.93603054989176926</v>
      </c>
      <c r="AW15" s="11">
        <f ca="1"/>
        <v>6.7149823651759005E-2</v>
      </c>
      <c r="AX15" s="3"/>
      <c r="AY15" s="3"/>
      <c r="AZ15" s="9">
        <f ca="1"/>
        <v>0.57956457740781953</v>
      </c>
      <c r="BA15" s="10">
        <f ca="1"/>
        <v>0.23722850910311943</v>
      </c>
      <c r="BB15" s="10">
        <f ca="1"/>
        <v>1</v>
      </c>
      <c r="BC15" s="10">
        <f ca="1"/>
        <v>0.32578388831833338</v>
      </c>
      <c r="BD15" s="11">
        <f ca="1"/>
        <v>0.49852125027675898</v>
      </c>
      <c r="BE15" s="3"/>
      <c r="BG15" s="9">
        <f ca="1"/>
        <v>0.36064881895624057</v>
      </c>
      <c r="BH15" s="10">
        <f ca="1"/>
        <v>0.27631196286468529</v>
      </c>
      <c r="BI15" s="10">
        <f ca="1"/>
        <v>1</v>
      </c>
      <c r="BJ15" s="10">
        <f ca="1"/>
        <v>0.421640843254806</v>
      </c>
      <c r="BK15" s="11">
        <f ca="1"/>
        <v>0.41742634585988858</v>
      </c>
      <c r="BL15" s="3"/>
      <c r="BM15" s="3"/>
      <c r="BN15" s="9">
        <f ca="1"/>
        <v>0.49852125027675898</v>
      </c>
      <c r="BO15" s="10">
        <f ca="1"/>
        <v>0.52525198154330088</v>
      </c>
      <c r="BP15" s="10">
        <f ca="1"/>
        <v>0.29327062365299439</v>
      </c>
      <c r="BQ15" s="10">
        <f ca="1"/>
        <v>0.36064881895624057</v>
      </c>
      <c r="BR15" s="11">
        <f ca="1"/>
        <v>0.33432835099577984</v>
      </c>
      <c r="BS15" s="3"/>
      <c r="BU15" s="9">
        <f ca="1"/>
        <v>0</v>
      </c>
      <c r="BV15" s="10">
        <f ca="1"/>
        <v>0</v>
      </c>
      <c r="BW15" s="10">
        <f ca="1"/>
        <v>0</v>
      </c>
      <c r="BX15" s="10">
        <f ca="1"/>
        <v>0</v>
      </c>
      <c r="BY15" s="11">
        <f ca="1"/>
        <v>0</v>
      </c>
      <c r="CA15" s="29"/>
    </row>
    <row r="16" spans="1:86" s="1" customFormat="1" ht="18" customHeight="1" x14ac:dyDescent="0.2">
      <c r="A16" s="7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U16" s="3"/>
      <c r="BV16" s="3"/>
      <c r="BW16" s="3"/>
      <c r="BX16" s="3"/>
      <c r="BY16" s="3"/>
      <c r="CA16" s="29"/>
    </row>
    <row r="17" spans="1:86" s="1" customFormat="1" ht="18" customHeight="1" thickBot="1" x14ac:dyDescent="0.25">
      <c r="A17" s="7"/>
      <c r="B17" s="99">
        <v>2</v>
      </c>
      <c r="C17" s="97" t="s">
        <v>12</v>
      </c>
      <c r="D17" s="97"/>
      <c r="E17" s="97"/>
      <c r="F17" s="97"/>
      <c r="G17" s="97"/>
      <c r="H17" s="28"/>
      <c r="I17" s="3"/>
      <c r="J17" s="97" t="str" cm="1">
        <f t="array" aca="1" ref="J17" ca="1">INDEX(Helper!$E$13:$E$22, OFFSET(Helper!$J$13,$B17,J$2))</f>
        <v>Shift Left</v>
      </c>
      <c r="K17" s="97"/>
      <c r="L17" s="97"/>
      <c r="M17" s="97"/>
      <c r="N17" s="97"/>
      <c r="O17" s="3"/>
      <c r="P17" s="3"/>
      <c r="Q17" s="97" t="str" cm="1">
        <f t="array" aca="1" ref="Q17" ca="1">INDEX(Helper!$E$13:$E$22, OFFSET(Helper!$J$13,$B17,Q$2))</f>
        <v>Noise</v>
      </c>
      <c r="R17" s="97"/>
      <c r="S17" s="97"/>
      <c r="T17" s="97"/>
      <c r="U17" s="97"/>
      <c r="V17" s="3"/>
      <c r="W17" s="3"/>
      <c r="X17" s="97" t="str" cm="1">
        <f t="array" aca="1" ref="X17" ca="1">INDEX(Helper!$E$13:$E$22, OFFSET(Helper!$J$13,$B17,X$2))</f>
        <v>Shift Up</v>
      </c>
      <c r="Y17" s="97"/>
      <c r="Z17" s="97"/>
      <c r="AA17" s="97"/>
      <c r="AB17" s="97"/>
      <c r="AC17" s="3"/>
      <c r="AD17" s="3"/>
      <c r="AE17" s="97" t="str" cm="1">
        <f t="array" aca="1" ref="AE17" ca="1">INDEX(Helper!$E$13:$E$22, OFFSET(Helper!$J$13,$B17,AE$2))</f>
        <v>Shift Right</v>
      </c>
      <c r="AF17" s="97"/>
      <c r="AG17" s="97"/>
      <c r="AH17" s="97"/>
      <c r="AI17" s="97"/>
      <c r="AJ17" s="3"/>
      <c r="AK17" s="3"/>
      <c r="AL17" s="97" t="str" cm="1">
        <f t="array" aca="1" ref="AL17" ca="1">INDEX(Helper!$E$13:$E$22, OFFSET(Helper!$J$13,$B17,AL$2))</f>
        <v>Shift Down</v>
      </c>
      <c r="AM17" s="97"/>
      <c r="AN17" s="97"/>
      <c r="AO17" s="97"/>
      <c r="AP17" s="97"/>
      <c r="AQ17" s="3"/>
      <c r="AR17" s="3"/>
      <c r="AS17" s="97" t="str" cm="1">
        <f t="array" aca="1" ref="AS17" ca="1">INDEX(Helper!$E$13:$E$22, OFFSET(Helper!$J$13,$B17,AS$2))</f>
        <v>180 Rotation</v>
      </c>
      <c r="AT17" s="97"/>
      <c r="AU17" s="97"/>
      <c r="AV17" s="97"/>
      <c r="AW17" s="97"/>
      <c r="AX17" s="3"/>
      <c r="AY17" s="3"/>
      <c r="AZ17" s="97" t="str" cm="1">
        <f t="array" aca="1" ref="AZ17" ca="1">INDEX(Helper!$E$13:$E$22, OFFSET(Helper!$J$13,$B17,AZ$2))</f>
        <v>90 CCW</v>
      </c>
      <c r="BA17" s="97"/>
      <c r="BB17" s="97"/>
      <c r="BC17" s="97"/>
      <c r="BD17" s="97"/>
      <c r="BE17" s="3"/>
      <c r="BG17" s="97" t="str" cm="1">
        <f t="array" aca="1" ref="BG17" ca="1">INDEX(Helper!$E$13:$E$22, OFFSET(Helper!$J$13,$B17,BG$2))</f>
        <v>Vertical Flip</v>
      </c>
      <c r="BH17" s="97"/>
      <c r="BI17" s="97"/>
      <c r="BJ17" s="97"/>
      <c r="BK17" s="97"/>
      <c r="BL17" s="3"/>
      <c r="BM17" s="3"/>
      <c r="BN17" s="97" t="str" cm="1">
        <f t="array" aca="1" ref="BN17" ca="1">INDEX(Helper!$E$13:$E$22, OFFSET(Helper!$J$13,$B17,BN$2))</f>
        <v>Horizontal Flip</v>
      </c>
      <c r="BO17" s="97"/>
      <c r="BP17" s="97"/>
      <c r="BQ17" s="97"/>
      <c r="BR17" s="97"/>
      <c r="BS17" s="3"/>
      <c r="BU17" s="97" t="str" cm="1">
        <f t="array" aca="1" ref="BU17" ca="1">INDEX(Helper!$E$13:$E$22, OFFSET(Helper!$J$13,$B17,BU$2))</f>
        <v>90 CW</v>
      </c>
      <c r="BV17" s="97"/>
      <c r="BW17" s="97"/>
      <c r="BX17" s="97"/>
      <c r="BY17" s="97"/>
      <c r="CA17" s="29"/>
    </row>
    <row r="18" spans="1:86" s="1" customFormat="1" ht="18" customHeight="1" x14ac:dyDescent="0.2">
      <c r="A18" s="7"/>
      <c r="B18" s="99"/>
      <c r="C18" s="4">
        <v>0.28348784389975801</v>
      </c>
      <c r="D18" s="5">
        <v>1</v>
      </c>
      <c r="E18" s="5">
        <v>1</v>
      </c>
      <c r="F18" s="5">
        <v>1</v>
      </c>
      <c r="G18" s="6">
        <v>0.23264271679063597</v>
      </c>
      <c r="H18" s="3"/>
      <c r="I18" s="3"/>
      <c r="J18" s="4" cm="1">
        <f t="array" aca="1" ref="J18:N22" ca="1">_xlfn.IFS(J17="None",  $C18:$G22*0,           J17="Horizontal Flip", INDEX($C18:$G22, _xlfn.SEQUENCE(5), 6 - _xlfn.SEQUENCE(1,5)),        J17="Vertical Flip", INDEX($C18:$G22, 6 - _xlfn.SEQUENCE(5), _xlfn.SEQUENCE(1,5)),      J17="180 Rotation", INDEX($C18:$G22, 6 - _xlfn.SEQUENCE(5), 6 - _xlfn.SEQUENCE(1,5)),        J17="90 CW", INDEX($C18:$G22, 6 - _xlfn.SEQUENCE(1,5), _xlfn.SEQUENCE(5)),          J17="90 CCW", INDEX($C18:$G22, _xlfn.SEQUENCE(1,5), 6 - _xlfn.SEQUENCE(5)),         J17="Shift Up", IF(_xlfn.SEQUENCE(5)+1&lt;=5, INDEX($C18:$G22, _xlfn.SEQUENCE(5)+1, _xlfn.SEQUENCE(1,5)), 0),         J17="Shift Down", IF(_xlfn.SEQUENCE(5)-1&gt;=1, INDEX($C18:$G22, _xlfn.SEQUENCE(5)-1, _xlfn.SEQUENCE(1,5)), 0),         J17="Shift Left",   IF(_xlfn.SEQUENCE(1,5)+1&lt;=5, INDEX($C18:$G22, _xlfn.SEQUENCE(5), _xlfn.SEQUENCE(1,5)+1),0),         J17= "Shift Right",  IF(_xlfn.SEQUENCE(1,5)-1&gt;=1, INDEX($C18:$G22, _xlfn.SEQUENCE(5), _xlfn.SEQUENCE(1,5)-1), 0),        J17="Noise",  _xlfn.MAP($C18:$G22 + (_xlfn.RANDARRAY(ROWS($C18:$G22), COLUMNS($C18:$G22)) - 0.5) * 0.4, _xlfn.LAMBDA(_xlpm.x, MAX(0, MIN(1, _xlpm.x)))))</f>
        <v>1</v>
      </c>
      <c r="K18" s="5">
        <f ca="1"/>
        <v>1</v>
      </c>
      <c r="L18" s="5">
        <f ca="1"/>
        <v>1</v>
      </c>
      <c r="M18" s="5">
        <f ca="1"/>
        <v>0.23264271679063597</v>
      </c>
      <c r="N18" s="6">
        <f ca="1"/>
        <v>0</v>
      </c>
      <c r="O18" s="3"/>
      <c r="P18" s="3"/>
      <c r="Q18" s="4" cm="1">
        <f t="array" aca="1" ref="Q18:U22" ca="1">_xlfn.IFS(Q17="None",  $C18:$G22*0,           Q17="Horizontal Flip", INDEX($C18:$G22, _xlfn.SEQUENCE(5), 6 - _xlfn.SEQUENCE(1,5)),        Q17="Vertical Flip", INDEX($C18:$G22, 6 - _xlfn.SEQUENCE(5), _xlfn.SEQUENCE(1,5)),      Q17="180 Rotation", INDEX($C18:$G22, 6 - _xlfn.SEQUENCE(5), 6 - _xlfn.SEQUENCE(1,5)),        Q17="90 CW", INDEX($C18:$G22, 6 - _xlfn.SEQUENCE(1,5), _xlfn.SEQUENCE(5)),          Q17="90 CCW", INDEX($C18:$G22, _xlfn.SEQUENCE(1,5), 6 - _xlfn.SEQUENCE(5)),         Q17="Shift Up", IF(_xlfn.SEQUENCE(5)+1&lt;=5, INDEX($C18:$G22, _xlfn.SEQUENCE(5)+1, _xlfn.SEQUENCE(1,5)), 0),         Q17="Shift Down", IF(_xlfn.SEQUENCE(5)-1&gt;=1, INDEX($C18:$G22, _xlfn.SEQUENCE(5)-1, _xlfn.SEQUENCE(1,5)), 0),         Q17="Shift Left",   IF(_xlfn.SEQUENCE(1,5)+1&lt;=5, INDEX($C18:$G22, _xlfn.SEQUENCE(5), _xlfn.SEQUENCE(1,5)+1),0),         Q17= "Shift Right",  IF(_xlfn.SEQUENCE(1,5)-1&gt;=1, INDEX($C18:$G22, _xlfn.SEQUENCE(5), _xlfn.SEQUENCE(1,5)-1), 0),        Q17="Noise",  _xlfn.MAP($C18:$G22 + (_xlfn.RANDARRAY(ROWS($C18:$G22), COLUMNS($C18:$G22)) - 0.5) * 0.4, _xlfn.LAMBDA(_xlpm.x, MAX(0, MIN(1, _xlpm.x)))))</f>
        <v>0.11507927421509742</v>
      </c>
      <c r="R18" s="5">
        <f ca="1"/>
        <v>1</v>
      </c>
      <c r="S18" s="5">
        <f ca="1"/>
        <v>1</v>
      </c>
      <c r="T18" s="5">
        <f ca="1"/>
        <v>1</v>
      </c>
      <c r="U18" s="6">
        <f ca="1"/>
        <v>0.11664923740762738</v>
      </c>
      <c r="V18" s="3"/>
      <c r="W18" s="3"/>
      <c r="X18" s="4" cm="1">
        <f t="array" aca="1" ref="X18:AB22" ca="1">_xlfn.IFS(X17="None",  $C18:$G22*0,           X17="Horizontal Flip", INDEX($C18:$G22, _xlfn.SEQUENCE(5), 6 - _xlfn.SEQUENCE(1,5)),        X17="Vertical Flip", INDEX($C18:$G22, 6 - _xlfn.SEQUENCE(5), _xlfn.SEQUENCE(1,5)),      X17="180 Rotation", INDEX($C18:$G22, 6 - _xlfn.SEQUENCE(5), 6 - _xlfn.SEQUENCE(1,5)),        X17="90 CW", INDEX($C18:$G22, 6 - _xlfn.SEQUENCE(1,5), _xlfn.SEQUENCE(5)),          X17="90 CCW", INDEX($C18:$G22, _xlfn.SEQUENCE(1,5), 6 - _xlfn.SEQUENCE(5)),         X17="Shift Up", IF(_xlfn.SEQUENCE(5)+1&lt;=5, INDEX($C18:$G22, _xlfn.SEQUENCE(5)+1, _xlfn.SEQUENCE(1,5)), 0),         X17="Shift Down", IF(_xlfn.SEQUENCE(5)-1&gt;=1, INDEX($C18:$G22, _xlfn.SEQUENCE(5)-1, _xlfn.SEQUENCE(1,5)), 0),         X17="Shift Left",   IF(_xlfn.SEQUENCE(1,5)+1&lt;=5, INDEX($C18:$G22, _xlfn.SEQUENCE(5), _xlfn.SEQUENCE(1,5)+1),0),         X17= "Shift Right",  IF(_xlfn.SEQUENCE(1,5)-1&gt;=1, INDEX($C18:$G22, _xlfn.SEQUENCE(5), _xlfn.SEQUENCE(1,5)-1), 0),        X17="Noise",  _xlfn.MAP($C18:$G22 + (_xlfn.RANDARRAY(ROWS($C18:$G22), COLUMNS($C18:$G22)) - 0.5) * 0.4, _xlfn.LAMBDA(_xlpm.x, MAX(0, MIN(1, _xlpm.x)))))</f>
        <v>0.46624031863022442</v>
      </c>
      <c r="Y18" s="5">
        <f ca="1"/>
        <v>0.62000165310500521</v>
      </c>
      <c r="Z18" s="5">
        <f ca="1"/>
        <v>0.34934611756953626</v>
      </c>
      <c r="AA18" s="5">
        <f ca="1"/>
        <v>1</v>
      </c>
      <c r="AB18" s="6">
        <f ca="1"/>
        <v>0.55681087725048883</v>
      </c>
      <c r="AC18" s="3"/>
      <c r="AD18" s="3"/>
      <c r="AE18" s="4" cm="1">
        <f t="array" aca="1" ref="AE18:AI22" ca="1">_xlfn.IFS(AE17="None",  $C18:$G22*0,           AE17="Horizontal Flip", INDEX($C18:$G22, _xlfn.SEQUENCE(5), 6 - _xlfn.SEQUENCE(1,5)),        AE17="Vertical Flip", INDEX($C18:$G22, 6 - _xlfn.SEQUENCE(5), _xlfn.SEQUENCE(1,5)),      AE17="180 Rotation", INDEX($C18:$G22, 6 - _xlfn.SEQUENCE(5), 6 - _xlfn.SEQUENCE(1,5)),        AE17="90 CW", INDEX($C18:$G22, 6 - _xlfn.SEQUENCE(1,5), _xlfn.SEQUENCE(5)),          AE17="90 CCW", INDEX($C18:$G22, _xlfn.SEQUENCE(1,5), 6 - _xlfn.SEQUENCE(5)),         AE17="Shift Up", IF(_xlfn.SEQUENCE(5)+1&lt;=5, INDEX($C18:$G22, _xlfn.SEQUENCE(5)+1, _xlfn.SEQUENCE(1,5)), 0),         AE17="Shift Down", IF(_xlfn.SEQUENCE(5)-1&gt;=1, INDEX($C18:$G22, _xlfn.SEQUENCE(5)-1, _xlfn.SEQUENCE(1,5)), 0),         AE17="Shift Left",   IF(_xlfn.SEQUENCE(1,5)+1&lt;=5, INDEX($C18:$G22, _xlfn.SEQUENCE(5), _xlfn.SEQUENCE(1,5)+1),0),         AE17= "Shift Right",  IF(_xlfn.SEQUENCE(1,5)-1&gt;=1, INDEX($C18:$G22, _xlfn.SEQUENCE(5), _xlfn.SEQUENCE(1,5)-1), 0),        AE17="Noise",  _xlfn.MAP($C18:$G22 + (_xlfn.RANDARRAY(ROWS($C18:$G22), COLUMNS($C18:$G22)) - 0.5) * 0.4, _xlfn.LAMBDA(_xlpm.x, MAX(0, MIN(1, _xlpm.x)))))</f>
        <v>0</v>
      </c>
      <c r="AF18" s="5">
        <f ca="1"/>
        <v>0.28348784389975801</v>
      </c>
      <c r="AG18" s="5">
        <f ca="1"/>
        <v>1</v>
      </c>
      <c r="AH18" s="5">
        <f ca="1"/>
        <v>1</v>
      </c>
      <c r="AI18" s="6">
        <f ca="1"/>
        <v>1</v>
      </c>
      <c r="AJ18" s="3"/>
      <c r="AK18" s="3"/>
      <c r="AL18" s="4" cm="1">
        <f t="array" aca="1" ref="AL18:AP22" ca="1">_xlfn.IFS(AL17="None",  $C18:$G22*0,           AL17="Horizontal Flip", INDEX($C18:$G22, _xlfn.SEQUENCE(5), 6 - _xlfn.SEQUENCE(1,5)),        AL17="Vertical Flip", INDEX($C18:$G22, 6 - _xlfn.SEQUENCE(5), _xlfn.SEQUENCE(1,5)),      AL17="180 Rotation", INDEX($C18:$G22, 6 - _xlfn.SEQUENCE(5), 6 - _xlfn.SEQUENCE(1,5)),        AL17="90 CW", INDEX($C18:$G22, 6 - _xlfn.SEQUENCE(1,5), _xlfn.SEQUENCE(5)),          AL17="90 CCW", INDEX($C18:$G22, _xlfn.SEQUENCE(1,5), 6 - _xlfn.SEQUENCE(5)),         AL17="Shift Up", IF(_xlfn.SEQUENCE(5)+1&lt;=5, INDEX($C18:$G22, _xlfn.SEQUENCE(5)+1, _xlfn.SEQUENCE(1,5)), 0),         AL17="Shift Down", IF(_xlfn.SEQUENCE(5)-1&gt;=1, INDEX($C18:$G22, _xlfn.SEQUENCE(5)-1, _xlfn.SEQUENCE(1,5)), 0),         AL17="Shift Left",   IF(_xlfn.SEQUENCE(1,5)+1&lt;=5, INDEX($C18:$G22, _xlfn.SEQUENCE(5), _xlfn.SEQUENCE(1,5)+1),0),         AL17= "Shift Right",  IF(_xlfn.SEQUENCE(1,5)-1&gt;=1, INDEX($C18:$G22, _xlfn.SEQUENCE(5), _xlfn.SEQUENCE(1,5)-1), 0),        AL17="Noise",  _xlfn.MAP($C18:$G22 + (_xlfn.RANDARRAY(ROWS($C18:$G22), COLUMNS($C18:$G22)) - 0.5) * 0.4, _xlfn.LAMBDA(_xlpm.x, MAX(0, MIN(1, _xlpm.x)))))</f>
        <v>0</v>
      </c>
      <c r="AM18" s="5">
        <f ca="1"/>
        <v>0</v>
      </c>
      <c r="AN18" s="5">
        <f ca="1"/>
        <v>0</v>
      </c>
      <c r="AO18" s="5">
        <f ca="1"/>
        <v>0</v>
      </c>
      <c r="AP18" s="6">
        <f ca="1"/>
        <v>0</v>
      </c>
      <c r="AQ18" s="3"/>
      <c r="AR18" s="3"/>
      <c r="AS18" s="4" cm="1">
        <f t="array" aca="1" ref="AS18:AW22" ca="1">_xlfn.IFS(AS17="None",  $C18:$G22*0,           AS17="Horizontal Flip", INDEX($C18:$G22, _xlfn.SEQUENCE(5), 6 - _xlfn.SEQUENCE(1,5)),        AS17="Vertical Flip", INDEX($C18:$G22, 6 - _xlfn.SEQUENCE(5), _xlfn.SEQUENCE(1,5)),      AS17="180 Rotation", INDEX($C18:$G22, 6 - _xlfn.SEQUENCE(5), 6 - _xlfn.SEQUENCE(1,5)),        AS17="90 CW", INDEX($C18:$G22, 6 - _xlfn.SEQUENCE(1,5), _xlfn.SEQUENCE(5)),          AS17="90 CCW", INDEX($C18:$G22, _xlfn.SEQUENCE(1,5), 6 - _xlfn.SEQUENCE(5)),         AS17="Shift Up", IF(_xlfn.SEQUENCE(5)+1&lt;=5, INDEX($C18:$G22, _xlfn.SEQUENCE(5)+1, _xlfn.SEQUENCE(1,5)), 0),         AS17="Shift Down", IF(_xlfn.SEQUENCE(5)-1&gt;=1, INDEX($C18:$G22, _xlfn.SEQUENCE(5)-1, _xlfn.SEQUENCE(1,5)), 0),         AS17="Shift Left",   IF(_xlfn.SEQUENCE(1,5)+1&lt;=5, INDEX($C18:$G22, _xlfn.SEQUENCE(5), _xlfn.SEQUENCE(1,5)+1),0),         AS17= "Shift Right",  IF(_xlfn.SEQUENCE(1,5)-1&gt;=1, INDEX($C18:$G22, _xlfn.SEQUENCE(5), _xlfn.SEQUENCE(1,5)-1), 0),        AS17="Noise",  _xlfn.MAP($C18:$G22 + (_xlfn.RANDARRAY(ROWS($C18:$G22), COLUMNS($C18:$G22)) - 0.5) * 0.4, _xlfn.LAMBDA(_xlpm.x, MAX(0, MIN(1, _xlpm.x)))))</f>
        <v>0.29482848402023243</v>
      </c>
      <c r="AT18" s="5">
        <f ca="1"/>
        <v>1</v>
      </c>
      <c r="AU18" s="5">
        <f ca="1"/>
        <v>1</v>
      </c>
      <c r="AV18" s="5">
        <f ca="1"/>
        <v>1</v>
      </c>
      <c r="AW18" s="6">
        <f ca="1"/>
        <v>0.61985860966187845</v>
      </c>
      <c r="AX18" s="3"/>
      <c r="AY18" s="3"/>
      <c r="AZ18" s="4" cm="1">
        <f t="array" aca="1" ref="AZ18:BD22" ca="1">_xlfn.IFS(AZ17="None",  $C18:$G22*0,           AZ17="Horizontal Flip", INDEX($C18:$G22, _xlfn.SEQUENCE(5), 6 - _xlfn.SEQUENCE(1,5)),        AZ17="Vertical Flip", INDEX($C18:$G22, 6 - _xlfn.SEQUENCE(5), _xlfn.SEQUENCE(1,5)),      AZ17="180 Rotation", INDEX($C18:$G22, 6 - _xlfn.SEQUENCE(5), 6 - _xlfn.SEQUENCE(1,5)),        AZ17="90 CW", INDEX($C18:$G22, 6 - _xlfn.SEQUENCE(1,5), _xlfn.SEQUENCE(5)),          AZ17="90 CCW", INDEX($C18:$G22, _xlfn.SEQUENCE(1,5), 6 - _xlfn.SEQUENCE(5)),         AZ17="Shift Up", IF(_xlfn.SEQUENCE(5)+1&lt;=5, INDEX($C18:$G22, _xlfn.SEQUENCE(5)+1, _xlfn.SEQUENCE(1,5)), 0),         AZ17="Shift Down", IF(_xlfn.SEQUENCE(5)-1&gt;=1, INDEX($C18:$G22, _xlfn.SEQUENCE(5)-1, _xlfn.SEQUENCE(1,5)), 0),         AZ17="Shift Left",   IF(_xlfn.SEQUENCE(1,5)+1&lt;=5, INDEX($C18:$G22, _xlfn.SEQUENCE(5), _xlfn.SEQUENCE(1,5)+1),0),         AZ17= "Shift Right",  IF(_xlfn.SEQUENCE(1,5)-1&gt;=1, INDEX($C18:$G22, _xlfn.SEQUENCE(5), _xlfn.SEQUENCE(1,5)-1), 0),        AZ17="Noise",  _xlfn.MAP($C18:$G22 + (_xlfn.RANDARRAY(ROWS($C18:$G22), COLUMNS($C18:$G22)) - 0.5) * 0.4, _xlfn.LAMBDA(_xlpm.x, MAX(0, MIN(1, _xlpm.x)))))</f>
        <v>0.23264271679063597</v>
      </c>
      <c r="BA18" s="5">
        <f ca="1"/>
        <v>0.55681087725048883</v>
      </c>
      <c r="BB18" s="5">
        <f ca="1"/>
        <v>0.31557816623100499</v>
      </c>
      <c r="BC18" s="5">
        <f ca="1"/>
        <v>0.23950234677576021</v>
      </c>
      <c r="BD18" s="6">
        <f ca="1"/>
        <v>0.29482848402023243</v>
      </c>
      <c r="BE18" s="3"/>
      <c r="BG18" s="4" cm="1">
        <f t="array" aca="1" ref="BG18:BK22" ca="1">_xlfn.IFS(BG17="None",  $C18:$G22*0,           BG17="Horizontal Flip", INDEX($C18:$G22, _xlfn.SEQUENCE(5), 6 - _xlfn.SEQUENCE(1,5)),        BG17="Vertical Flip", INDEX($C18:$G22, 6 - _xlfn.SEQUENCE(5), _xlfn.SEQUENCE(1,5)),      BG17="180 Rotation", INDEX($C18:$G22, 6 - _xlfn.SEQUENCE(5), 6 - _xlfn.SEQUENCE(1,5)),        BG17="90 CW", INDEX($C18:$G22, 6 - _xlfn.SEQUENCE(1,5), _xlfn.SEQUENCE(5)),          BG17="90 CCW", INDEX($C18:$G22, _xlfn.SEQUENCE(1,5), 6 - _xlfn.SEQUENCE(5)),         BG17="Shift Up", IF(_xlfn.SEQUENCE(5)+1&lt;=5, INDEX($C18:$G22, _xlfn.SEQUENCE(5)+1, _xlfn.SEQUENCE(1,5)), 0),         BG17="Shift Down", IF(_xlfn.SEQUENCE(5)-1&gt;=1, INDEX($C18:$G22, _xlfn.SEQUENCE(5)-1, _xlfn.SEQUENCE(1,5)), 0),         BG17="Shift Left",   IF(_xlfn.SEQUENCE(1,5)+1&lt;=5, INDEX($C18:$G22, _xlfn.SEQUENCE(5), _xlfn.SEQUENCE(1,5)+1),0),         BG17= "Shift Right",  IF(_xlfn.SEQUENCE(1,5)-1&gt;=1, INDEX($C18:$G22, _xlfn.SEQUENCE(5), _xlfn.SEQUENCE(1,5)-1), 0),        BG17="Noise",  _xlfn.MAP($C18:$G22 + (_xlfn.RANDARRAY(ROWS($C18:$G22), COLUMNS($C18:$G22)) - 0.5) * 0.4, _xlfn.LAMBDA(_xlpm.x, MAX(0, MIN(1, _xlpm.x)))))</f>
        <v>0.61985860966187845</v>
      </c>
      <c r="BH18" s="5">
        <f ca="1"/>
        <v>1</v>
      </c>
      <c r="BI18" s="5">
        <f ca="1"/>
        <v>1</v>
      </c>
      <c r="BJ18" s="5">
        <f ca="1"/>
        <v>1</v>
      </c>
      <c r="BK18" s="6">
        <f ca="1"/>
        <v>0.29482848402023243</v>
      </c>
      <c r="BL18" s="3"/>
      <c r="BM18" s="3"/>
      <c r="BN18" s="4" cm="1">
        <f t="array" aca="1" ref="BN18:BR22" ca="1">_xlfn.IFS(BN17="None",  $C18:$G22*0,           BN17="Horizontal Flip", INDEX($C18:$G22, _xlfn.SEQUENCE(5), 6 - _xlfn.SEQUENCE(1,5)),        BN17="Vertical Flip", INDEX($C18:$G22, 6 - _xlfn.SEQUENCE(5), _xlfn.SEQUENCE(1,5)),      BN17="180 Rotation", INDEX($C18:$G22, 6 - _xlfn.SEQUENCE(5), 6 - _xlfn.SEQUENCE(1,5)),        BN17="90 CW", INDEX($C18:$G22, 6 - _xlfn.SEQUENCE(1,5), _xlfn.SEQUENCE(5)),          BN17="90 CCW", INDEX($C18:$G22, _xlfn.SEQUENCE(1,5), 6 - _xlfn.SEQUENCE(5)),         BN17="Shift Up", IF(_xlfn.SEQUENCE(5)+1&lt;=5, INDEX($C18:$G22, _xlfn.SEQUENCE(5)+1, _xlfn.SEQUENCE(1,5)), 0),         BN17="Shift Down", IF(_xlfn.SEQUENCE(5)-1&gt;=1, INDEX($C18:$G22, _xlfn.SEQUENCE(5)-1, _xlfn.SEQUENCE(1,5)), 0),         BN17="Shift Left",   IF(_xlfn.SEQUENCE(1,5)+1&lt;=5, INDEX($C18:$G22, _xlfn.SEQUENCE(5), _xlfn.SEQUENCE(1,5)+1),0),         BN17= "Shift Right",  IF(_xlfn.SEQUENCE(1,5)-1&gt;=1, INDEX($C18:$G22, _xlfn.SEQUENCE(5), _xlfn.SEQUENCE(1,5)-1), 0),        BN17="Noise",  _xlfn.MAP($C18:$G22 + (_xlfn.RANDARRAY(ROWS($C18:$G22), COLUMNS($C18:$G22)) - 0.5) * 0.4, _xlfn.LAMBDA(_xlpm.x, MAX(0, MIN(1, _xlpm.x)))))</f>
        <v>0.23264271679063597</v>
      </c>
      <c r="BO18" s="5">
        <f ca="1"/>
        <v>1</v>
      </c>
      <c r="BP18" s="5">
        <f ca="1"/>
        <v>1</v>
      </c>
      <c r="BQ18" s="5">
        <f ca="1"/>
        <v>1</v>
      </c>
      <c r="BR18" s="6">
        <f ca="1"/>
        <v>0.28348784389975801</v>
      </c>
      <c r="BS18" s="3"/>
      <c r="BU18" s="4" cm="1">
        <f t="array" aca="1" ref="BU18:BY22" ca="1">_xlfn.IFS(BU17="None",  $C18:$G22*0,           BU17="Horizontal Flip", INDEX($C18:$G22, _xlfn.SEQUENCE(5), 6 - _xlfn.SEQUENCE(1,5)),        BU17="Vertical Flip", INDEX($C18:$G22, 6 - _xlfn.SEQUENCE(5), _xlfn.SEQUENCE(1,5)),      BU17="180 Rotation", INDEX($C18:$G22, 6 - _xlfn.SEQUENCE(5), 6 - _xlfn.SEQUENCE(1,5)),        BU17="90 CW", INDEX($C18:$G22, 6 - _xlfn.SEQUENCE(1,5), _xlfn.SEQUENCE(5)),          BU17="90 CCW", INDEX($C18:$G22, _xlfn.SEQUENCE(1,5), 6 - _xlfn.SEQUENCE(5)),         BU17="Shift Up", IF(_xlfn.SEQUENCE(5)+1&lt;=5, INDEX($C18:$G22, _xlfn.SEQUENCE(5)+1, _xlfn.SEQUENCE(1,5)), 0),         BU17="Shift Down", IF(_xlfn.SEQUENCE(5)-1&gt;=1, INDEX($C18:$G22, _xlfn.SEQUENCE(5)-1, _xlfn.SEQUENCE(1,5)), 0),         BU17="Shift Left",   IF(_xlfn.SEQUENCE(1,5)+1&lt;=5, INDEX($C18:$G22, _xlfn.SEQUENCE(5), _xlfn.SEQUENCE(1,5)+1),0),         BU17= "Shift Right",  IF(_xlfn.SEQUENCE(1,5)-1&gt;=1, INDEX($C18:$G22, _xlfn.SEQUENCE(5), _xlfn.SEQUENCE(1,5)-1), 0),        BU17="Noise",  _xlfn.MAP($C18:$G22 + (_xlfn.RANDARRAY(ROWS($C18:$G22), COLUMNS($C18:$G22)) - 0.5) * 0.4, _xlfn.LAMBDA(_xlpm.x, MAX(0, MIN(1, _xlpm.x)))))</f>
        <v>0.61985860966187845</v>
      </c>
      <c r="BV18" s="5">
        <f ca="1"/>
        <v>0.19748848334411673</v>
      </c>
      <c r="BW18" s="5">
        <f ca="1"/>
        <v>0.16467719504838585</v>
      </c>
      <c r="BX18" s="5">
        <f ca="1"/>
        <v>0.46624031863022442</v>
      </c>
      <c r="BY18" s="6">
        <f ca="1"/>
        <v>0.28348784389975801</v>
      </c>
      <c r="CA18" s="8"/>
      <c r="CB18" s="3"/>
      <c r="CC18" s="3"/>
      <c r="CD18" s="3"/>
      <c r="CH18" s="12" t="s">
        <v>14</v>
      </c>
    </row>
    <row r="19" spans="1:86" s="1" customFormat="1" ht="18" customHeight="1" x14ac:dyDescent="0.2">
      <c r="A19" s="7"/>
      <c r="B19" s="99"/>
      <c r="C19" s="7">
        <v>0.46624031863022442</v>
      </c>
      <c r="D19" s="3">
        <v>0.62000165310500521</v>
      </c>
      <c r="E19" s="3">
        <v>0.34934611756953626</v>
      </c>
      <c r="F19" s="3">
        <v>1</v>
      </c>
      <c r="G19" s="8">
        <v>0.55681087725048883</v>
      </c>
      <c r="H19" s="3"/>
      <c r="I19" s="3"/>
      <c r="J19" s="7">
        <f ca="1"/>
        <v>0.62000165310500521</v>
      </c>
      <c r="K19" s="3">
        <f ca="1"/>
        <v>0.34934611756953626</v>
      </c>
      <c r="L19" s="3">
        <f ca="1"/>
        <v>1</v>
      </c>
      <c r="M19" s="3">
        <f ca="1"/>
        <v>0.55681087725048883</v>
      </c>
      <c r="N19" s="8">
        <f ca="1"/>
        <v>0</v>
      </c>
      <c r="O19" s="3"/>
      <c r="P19" s="3"/>
      <c r="Q19" s="7">
        <f ca="1"/>
        <v>0.46006604510950161</v>
      </c>
      <c r="R19" s="3">
        <f ca="1"/>
        <v>0.77970094694991476</v>
      </c>
      <c r="S19" s="3">
        <f ca="1"/>
        <v>0.47328509411944875</v>
      </c>
      <c r="T19" s="3">
        <f ca="1"/>
        <v>0.83291811950603212</v>
      </c>
      <c r="U19" s="8">
        <f ca="1"/>
        <v>0.56336185069208</v>
      </c>
      <c r="V19" s="3"/>
      <c r="W19" s="3"/>
      <c r="X19" s="7">
        <f ca="1"/>
        <v>0.16467719504838585</v>
      </c>
      <c r="Y19" s="3">
        <f ca="1"/>
        <v>1</v>
      </c>
      <c r="Z19" s="3">
        <f ca="1"/>
        <v>1</v>
      </c>
      <c r="AA19" s="3">
        <f ca="1"/>
        <v>1</v>
      </c>
      <c r="AB19" s="8">
        <f ca="1"/>
        <v>0.31557816623100499</v>
      </c>
      <c r="AC19" s="3"/>
      <c r="AD19" s="3"/>
      <c r="AE19" s="7">
        <f ca="1"/>
        <v>0</v>
      </c>
      <c r="AF19" s="3">
        <f ca="1"/>
        <v>0.46624031863022442</v>
      </c>
      <c r="AG19" s="3">
        <f ca="1"/>
        <v>0.62000165310500521</v>
      </c>
      <c r="AH19" s="3">
        <f ca="1"/>
        <v>0.34934611756953626</v>
      </c>
      <c r="AI19" s="8">
        <f ca="1"/>
        <v>1</v>
      </c>
      <c r="AJ19" s="3"/>
      <c r="AK19" s="3"/>
      <c r="AL19" s="7">
        <f ca="1"/>
        <v>0.28348784389975801</v>
      </c>
      <c r="AM19" s="3">
        <f ca="1"/>
        <v>1</v>
      </c>
      <c r="AN19" s="3">
        <f ca="1"/>
        <v>1</v>
      </c>
      <c r="AO19" s="3">
        <f ca="1"/>
        <v>1</v>
      </c>
      <c r="AP19" s="8">
        <f ca="1"/>
        <v>0.23264271679063597</v>
      </c>
      <c r="AQ19" s="3"/>
      <c r="AR19" s="3"/>
      <c r="AS19" s="7">
        <f ca="1"/>
        <v>0.23950234677576021</v>
      </c>
      <c r="AT19" s="3">
        <f ca="1"/>
        <v>0.1980109765859448</v>
      </c>
      <c r="AU19" s="3">
        <f ca="1"/>
        <v>0.28987371467087697</v>
      </c>
      <c r="AV19" s="3">
        <f ca="1"/>
        <v>1</v>
      </c>
      <c r="AW19" s="8">
        <f ca="1"/>
        <v>0.19748848334411673</v>
      </c>
      <c r="AX19" s="3"/>
      <c r="AY19" s="3"/>
      <c r="AZ19" s="7">
        <f ca="1"/>
        <v>1</v>
      </c>
      <c r="BA19" s="3">
        <f ca="1"/>
        <v>1</v>
      </c>
      <c r="BB19" s="3">
        <f ca="1"/>
        <v>1</v>
      </c>
      <c r="BC19" s="3">
        <f ca="1"/>
        <v>0.1980109765859448</v>
      </c>
      <c r="BD19" s="8">
        <f ca="1"/>
        <v>1</v>
      </c>
      <c r="BE19" s="3"/>
      <c r="BG19" s="7">
        <f ca="1"/>
        <v>0.19748848334411673</v>
      </c>
      <c r="BH19" s="3">
        <f ca="1"/>
        <v>1</v>
      </c>
      <c r="BI19" s="3">
        <f ca="1"/>
        <v>0.28987371467087697</v>
      </c>
      <c r="BJ19" s="3">
        <f ca="1"/>
        <v>0.1980109765859448</v>
      </c>
      <c r="BK19" s="8">
        <f ca="1"/>
        <v>0.23950234677576021</v>
      </c>
      <c r="BL19" s="3"/>
      <c r="BM19" s="3"/>
      <c r="BN19" s="7">
        <f ca="1"/>
        <v>0.55681087725048883</v>
      </c>
      <c r="BO19" s="3">
        <f ca="1"/>
        <v>1</v>
      </c>
      <c r="BP19" s="3">
        <f ca="1"/>
        <v>0.34934611756953626</v>
      </c>
      <c r="BQ19" s="3">
        <f ca="1"/>
        <v>0.62000165310500521</v>
      </c>
      <c r="BR19" s="8">
        <f ca="1"/>
        <v>0.46624031863022442</v>
      </c>
      <c r="BS19" s="3"/>
      <c r="BU19" s="7">
        <f ca="1"/>
        <v>1</v>
      </c>
      <c r="BV19" s="3">
        <f ca="1"/>
        <v>1</v>
      </c>
      <c r="BW19" s="3">
        <f ca="1"/>
        <v>1</v>
      </c>
      <c r="BX19" s="3">
        <f ca="1"/>
        <v>0.62000165310500521</v>
      </c>
      <c r="BY19" s="8">
        <f ca="1"/>
        <v>1</v>
      </c>
      <c r="CA19" s="8"/>
      <c r="CB19" s="3"/>
      <c r="CC19" s="3"/>
      <c r="CD19" s="3"/>
    </row>
    <row r="20" spans="1:86" s="1" customFormat="1" ht="18" customHeight="1" x14ac:dyDescent="0.2">
      <c r="A20" s="7"/>
      <c r="B20" s="99"/>
      <c r="C20" s="7">
        <v>0.16467719504838585</v>
      </c>
      <c r="D20" s="3">
        <v>1</v>
      </c>
      <c r="E20" s="3">
        <v>1</v>
      </c>
      <c r="F20" s="3">
        <v>1</v>
      </c>
      <c r="G20" s="8">
        <v>0.31557816623100499</v>
      </c>
      <c r="H20" s="3"/>
      <c r="I20" s="3"/>
      <c r="J20" s="7">
        <f ca="1"/>
        <v>1</v>
      </c>
      <c r="K20" s="3">
        <f ca="1"/>
        <v>1</v>
      </c>
      <c r="L20" s="3">
        <f ca="1"/>
        <v>1</v>
      </c>
      <c r="M20" s="3">
        <f ca="1"/>
        <v>0.31557816623100499</v>
      </c>
      <c r="N20" s="8">
        <f ca="1"/>
        <v>0</v>
      </c>
      <c r="O20" s="3"/>
      <c r="P20" s="3"/>
      <c r="Q20" s="7">
        <f ca="1"/>
        <v>0.31405441274276402</v>
      </c>
      <c r="R20" s="3">
        <f ca="1"/>
        <v>1</v>
      </c>
      <c r="S20" s="3">
        <f ca="1"/>
        <v>1</v>
      </c>
      <c r="T20" s="3">
        <f ca="1"/>
        <v>0.80491224683208906</v>
      </c>
      <c r="U20" s="8">
        <f ca="1"/>
        <v>0.44626309007123388</v>
      </c>
      <c r="V20" s="3"/>
      <c r="W20" s="3"/>
      <c r="X20" s="7">
        <f ca="1"/>
        <v>0.19748848334411673</v>
      </c>
      <c r="Y20" s="3">
        <f ca="1"/>
        <v>1</v>
      </c>
      <c r="Z20" s="3">
        <f ca="1"/>
        <v>0.28987371467087697</v>
      </c>
      <c r="AA20" s="3">
        <f ca="1"/>
        <v>0.1980109765859448</v>
      </c>
      <c r="AB20" s="8">
        <f ca="1"/>
        <v>0.23950234677576021</v>
      </c>
      <c r="AC20" s="3"/>
      <c r="AD20" s="3"/>
      <c r="AE20" s="7">
        <f ca="1"/>
        <v>0</v>
      </c>
      <c r="AF20" s="3">
        <f ca="1"/>
        <v>0.16467719504838585</v>
      </c>
      <c r="AG20" s="3">
        <f ca="1"/>
        <v>1</v>
      </c>
      <c r="AH20" s="3">
        <f ca="1"/>
        <v>1</v>
      </c>
      <c r="AI20" s="8">
        <f ca="1"/>
        <v>1</v>
      </c>
      <c r="AJ20" s="3"/>
      <c r="AK20" s="3"/>
      <c r="AL20" s="7">
        <f ca="1"/>
        <v>0.46624031863022442</v>
      </c>
      <c r="AM20" s="3">
        <f ca="1"/>
        <v>0.62000165310500521</v>
      </c>
      <c r="AN20" s="3">
        <f ca="1"/>
        <v>0.34934611756953626</v>
      </c>
      <c r="AO20" s="3">
        <f ca="1"/>
        <v>1</v>
      </c>
      <c r="AP20" s="8">
        <f ca="1"/>
        <v>0.55681087725048883</v>
      </c>
      <c r="AQ20" s="3"/>
      <c r="AR20" s="3"/>
      <c r="AS20" s="7">
        <f ca="1"/>
        <v>0.31557816623100499</v>
      </c>
      <c r="AT20" s="3">
        <f ca="1"/>
        <v>1</v>
      </c>
      <c r="AU20" s="3">
        <f ca="1"/>
        <v>1</v>
      </c>
      <c r="AV20" s="3">
        <f ca="1"/>
        <v>1</v>
      </c>
      <c r="AW20" s="8">
        <f ca="1"/>
        <v>0.16467719504838585</v>
      </c>
      <c r="AX20" s="3"/>
      <c r="AY20" s="3"/>
      <c r="AZ20" s="7">
        <f ca="1"/>
        <v>1</v>
      </c>
      <c r="BA20" s="3">
        <f ca="1"/>
        <v>0.34934611756953626</v>
      </c>
      <c r="BB20" s="3">
        <f ca="1"/>
        <v>1</v>
      </c>
      <c r="BC20" s="3">
        <f ca="1"/>
        <v>0.28987371467087697</v>
      </c>
      <c r="BD20" s="8">
        <f ca="1"/>
        <v>1</v>
      </c>
      <c r="BE20" s="3"/>
      <c r="BG20" s="7">
        <f ca="1"/>
        <v>0.16467719504838585</v>
      </c>
      <c r="BH20" s="3">
        <f ca="1"/>
        <v>1</v>
      </c>
      <c r="BI20" s="3">
        <f ca="1"/>
        <v>1</v>
      </c>
      <c r="BJ20" s="3">
        <f ca="1"/>
        <v>1</v>
      </c>
      <c r="BK20" s="8">
        <f ca="1"/>
        <v>0.31557816623100499</v>
      </c>
      <c r="BL20" s="3"/>
      <c r="BM20" s="3"/>
      <c r="BN20" s="7">
        <f ca="1"/>
        <v>0.31557816623100499</v>
      </c>
      <c r="BO20" s="3">
        <f ca="1"/>
        <v>1</v>
      </c>
      <c r="BP20" s="3">
        <f ca="1"/>
        <v>1</v>
      </c>
      <c r="BQ20" s="3">
        <f ca="1"/>
        <v>1</v>
      </c>
      <c r="BR20" s="8">
        <f ca="1"/>
        <v>0.16467719504838585</v>
      </c>
      <c r="BS20" s="3"/>
      <c r="BU20" s="7">
        <f ca="1"/>
        <v>1</v>
      </c>
      <c r="BV20" s="3">
        <f ca="1"/>
        <v>0.28987371467087697</v>
      </c>
      <c r="BW20" s="3">
        <f ca="1"/>
        <v>1</v>
      </c>
      <c r="BX20" s="3">
        <f ca="1"/>
        <v>0.34934611756953626</v>
      </c>
      <c r="BY20" s="8">
        <f ca="1"/>
        <v>1</v>
      </c>
      <c r="CA20" s="8"/>
      <c r="CB20" s="3"/>
      <c r="CC20" s="3"/>
      <c r="CD20" s="3"/>
    </row>
    <row r="21" spans="1:86" s="1" customFormat="1" ht="18" customHeight="1" x14ac:dyDescent="0.2">
      <c r="A21" s="7"/>
      <c r="B21" s="99"/>
      <c r="C21" s="7">
        <v>0.19748848334411673</v>
      </c>
      <c r="D21" s="3">
        <v>1</v>
      </c>
      <c r="E21" s="3">
        <v>0.28987371467087697</v>
      </c>
      <c r="F21" s="3">
        <v>0.1980109765859448</v>
      </c>
      <c r="G21" s="8">
        <v>0.23950234677576021</v>
      </c>
      <c r="H21" s="3"/>
      <c r="I21" s="3"/>
      <c r="J21" s="7">
        <f ca="1"/>
        <v>1</v>
      </c>
      <c r="K21" s="3">
        <f ca="1"/>
        <v>0.28987371467087697</v>
      </c>
      <c r="L21" s="3">
        <f ca="1"/>
        <v>0.1980109765859448</v>
      </c>
      <c r="M21" s="3">
        <f ca="1"/>
        <v>0.23950234677576021</v>
      </c>
      <c r="N21" s="8">
        <f ca="1"/>
        <v>0</v>
      </c>
      <c r="O21" s="3"/>
      <c r="P21" s="3"/>
      <c r="Q21" s="7">
        <f ca="1"/>
        <v>0.38894204133581989</v>
      </c>
      <c r="R21" s="3">
        <f ca="1"/>
        <v>1</v>
      </c>
      <c r="S21" s="3">
        <f ca="1"/>
        <v>0.34658071335162027</v>
      </c>
      <c r="T21" s="3">
        <f ca="1"/>
        <v>0.19830158241699922</v>
      </c>
      <c r="U21" s="8">
        <f ca="1"/>
        <v>4.3887982856101293E-2</v>
      </c>
      <c r="V21" s="3"/>
      <c r="W21" s="3"/>
      <c r="X21" s="7">
        <f ca="1"/>
        <v>0.61985860966187845</v>
      </c>
      <c r="Y21" s="3">
        <f ca="1"/>
        <v>1</v>
      </c>
      <c r="Z21" s="3">
        <f ca="1"/>
        <v>1</v>
      </c>
      <c r="AA21" s="3">
        <f ca="1"/>
        <v>1</v>
      </c>
      <c r="AB21" s="8">
        <f ca="1"/>
        <v>0.29482848402023243</v>
      </c>
      <c r="AC21" s="3"/>
      <c r="AD21" s="3"/>
      <c r="AE21" s="7">
        <f ca="1"/>
        <v>0</v>
      </c>
      <c r="AF21" s="3">
        <f ca="1"/>
        <v>0.19748848334411673</v>
      </c>
      <c r="AG21" s="3">
        <f ca="1"/>
        <v>1</v>
      </c>
      <c r="AH21" s="3">
        <f ca="1"/>
        <v>0.28987371467087697</v>
      </c>
      <c r="AI21" s="8">
        <f ca="1"/>
        <v>0.1980109765859448</v>
      </c>
      <c r="AJ21" s="3"/>
      <c r="AK21" s="3"/>
      <c r="AL21" s="7">
        <f ca="1"/>
        <v>0.16467719504838585</v>
      </c>
      <c r="AM21" s="3">
        <f ca="1"/>
        <v>1</v>
      </c>
      <c r="AN21" s="3">
        <f ca="1"/>
        <v>1</v>
      </c>
      <c r="AO21" s="3">
        <f ca="1"/>
        <v>1</v>
      </c>
      <c r="AP21" s="8">
        <f ca="1"/>
        <v>0.31557816623100499</v>
      </c>
      <c r="AQ21" s="3"/>
      <c r="AR21" s="3"/>
      <c r="AS21" s="7">
        <f ca="1"/>
        <v>0.55681087725048883</v>
      </c>
      <c r="AT21" s="3">
        <f ca="1"/>
        <v>1</v>
      </c>
      <c r="AU21" s="3">
        <f ca="1"/>
        <v>0.34934611756953626</v>
      </c>
      <c r="AV21" s="3">
        <f ca="1"/>
        <v>0.62000165310500521</v>
      </c>
      <c r="AW21" s="8">
        <f ca="1"/>
        <v>0.46624031863022442</v>
      </c>
      <c r="AX21" s="3"/>
      <c r="AY21" s="3"/>
      <c r="AZ21" s="7">
        <f ca="1"/>
        <v>1</v>
      </c>
      <c r="BA21" s="3">
        <f ca="1"/>
        <v>0.62000165310500521</v>
      </c>
      <c r="BB21" s="3">
        <f ca="1"/>
        <v>1</v>
      </c>
      <c r="BC21" s="3">
        <f ca="1"/>
        <v>1</v>
      </c>
      <c r="BD21" s="8">
        <f ca="1"/>
        <v>1</v>
      </c>
      <c r="BE21" s="3"/>
      <c r="BG21" s="7">
        <f ca="1"/>
        <v>0.46624031863022442</v>
      </c>
      <c r="BH21" s="3">
        <f ca="1"/>
        <v>0.62000165310500521</v>
      </c>
      <c r="BI21" s="3">
        <f ca="1"/>
        <v>0.34934611756953626</v>
      </c>
      <c r="BJ21" s="3">
        <f ca="1"/>
        <v>1</v>
      </c>
      <c r="BK21" s="8">
        <f ca="1"/>
        <v>0.55681087725048883</v>
      </c>
      <c r="BL21" s="3"/>
      <c r="BM21" s="3"/>
      <c r="BN21" s="7">
        <f ca="1"/>
        <v>0.23950234677576021</v>
      </c>
      <c r="BO21" s="3">
        <f ca="1"/>
        <v>0.1980109765859448</v>
      </c>
      <c r="BP21" s="3">
        <f ca="1"/>
        <v>0.28987371467087697</v>
      </c>
      <c r="BQ21" s="3">
        <f ca="1"/>
        <v>1</v>
      </c>
      <c r="BR21" s="8">
        <f ca="1"/>
        <v>0.19748848334411673</v>
      </c>
      <c r="BS21" s="3"/>
      <c r="BU21" s="7">
        <f ca="1"/>
        <v>1</v>
      </c>
      <c r="BV21" s="3">
        <f ca="1"/>
        <v>0.1980109765859448</v>
      </c>
      <c r="BW21" s="3">
        <f ca="1"/>
        <v>1</v>
      </c>
      <c r="BX21" s="3">
        <f ca="1"/>
        <v>1</v>
      </c>
      <c r="BY21" s="8">
        <f ca="1"/>
        <v>1</v>
      </c>
      <c r="CA21" s="8"/>
      <c r="CB21" s="3"/>
      <c r="CC21" s="3"/>
      <c r="CD21" s="3"/>
    </row>
    <row r="22" spans="1:86" s="1" customFormat="1" ht="18" customHeight="1" thickBot="1" x14ac:dyDescent="0.25">
      <c r="A22" s="7"/>
      <c r="B22" s="99"/>
      <c r="C22" s="9">
        <v>0.61985860966187845</v>
      </c>
      <c r="D22" s="10">
        <v>1</v>
      </c>
      <c r="E22" s="10">
        <v>1</v>
      </c>
      <c r="F22" s="10">
        <v>1</v>
      </c>
      <c r="G22" s="11">
        <v>0.29482848402023243</v>
      </c>
      <c r="H22" s="3"/>
      <c r="I22" s="3"/>
      <c r="J22" s="9">
        <f ca="1"/>
        <v>1</v>
      </c>
      <c r="K22" s="10">
        <f ca="1"/>
        <v>1</v>
      </c>
      <c r="L22" s="10">
        <f ca="1"/>
        <v>1</v>
      </c>
      <c r="M22" s="10">
        <f ca="1"/>
        <v>0.29482848402023243</v>
      </c>
      <c r="N22" s="11">
        <f ca="1"/>
        <v>0</v>
      </c>
      <c r="O22" s="3"/>
      <c r="P22" s="3"/>
      <c r="Q22" s="9">
        <f ca="1"/>
        <v>0.7632670072298221</v>
      </c>
      <c r="R22" s="10">
        <f ca="1"/>
        <v>0.93536605550206031</v>
      </c>
      <c r="S22" s="10">
        <f ca="1"/>
        <v>0.97316374393389515</v>
      </c>
      <c r="T22" s="10">
        <f ca="1"/>
        <v>1</v>
      </c>
      <c r="U22" s="11">
        <f ca="1"/>
        <v>0.42673106394176097</v>
      </c>
      <c r="V22" s="3"/>
      <c r="W22" s="3"/>
      <c r="X22" s="9">
        <f ca="1"/>
        <v>0</v>
      </c>
      <c r="Y22" s="10">
        <f ca="1"/>
        <v>0</v>
      </c>
      <c r="Z22" s="10">
        <f ca="1"/>
        <v>0</v>
      </c>
      <c r="AA22" s="10">
        <f ca="1"/>
        <v>0</v>
      </c>
      <c r="AB22" s="11">
        <f ca="1"/>
        <v>0</v>
      </c>
      <c r="AC22" s="3"/>
      <c r="AD22" s="3"/>
      <c r="AE22" s="9">
        <f ca="1"/>
        <v>0</v>
      </c>
      <c r="AF22" s="10">
        <f ca="1"/>
        <v>0.61985860966187845</v>
      </c>
      <c r="AG22" s="10">
        <f ca="1"/>
        <v>1</v>
      </c>
      <c r="AH22" s="10">
        <f ca="1"/>
        <v>1</v>
      </c>
      <c r="AI22" s="11">
        <f ca="1"/>
        <v>1</v>
      </c>
      <c r="AJ22" s="3"/>
      <c r="AK22" s="3"/>
      <c r="AL22" s="9">
        <f ca="1"/>
        <v>0.19748848334411673</v>
      </c>
      <c r="AM22" s="10">
        <f ca="1"/>
        <v>1</v>
      </c>
      <c r="AN22" s="10">
        <f ca="1"/>
        <v>0.28987371467087697</v>
      </c>
      <c r="AO22" s="10">
        <f ca="1"/>
        <v>0.1980109765859448</v>
      </c>
      <c r="AP22" s="11">
        <f ca="1"/>
        <v>0.23950234677576021</v>
      </c>
      <c r="AQ22" s="3"/>
      <c r="AR22" s="3"/>
      <c r="AS22" s="9">
        <f ca="1"/>
        <v>0.23264271679063597</v>
      </c>
      <c r="AT22" s="10">
        <f ca="1"/>
        <v>1</v>
      </c>
      <c r="AU22" s="10">
        <f ca="1"/>
        <v>1</v>
      </c>
      <c r="AV22" s="10">
        <f ca="1"/>
        <v>1</v>
      </c>
      <c r="AW22" s="11">
        <f ca="1"/>
        <v>0.28348784389975801</v>
      </c>
      <c r="AX22" s="3"/>
      <c r="AY22" s="3"/>
      <c r="AZ22" s="9">
        <f ca="1"/>
        <v>0.28348784389975801</v>
      </c>
      <c r="BA22" s="10">
        <f ca="1"/>
        <v>0.46624031863022442</v>
      </c>
      <c r="BB22" s="10">
        <f ca="1"/>
        <v>0.16467719504838585</v>
      </c>
      <c r="BC22" s="10">
        <f ca="1"/>
        <v>0.19748848334411673</v>
      </c>
      <c r="BD22" s="11">
        <f ca="1"/>
        <v>0.61985860966187845</v>
      </c>
      <c r="BE22" s="3"/>
      <c r="BG22" s="9">
        <f ca="1"/>
        <v>0.28348784389975801</v>
      </c>
      <c r="BH22" s="10">
        <f ca="1"/>
        <v>1</v>
      </c>
      <c r="BI22" s="10">
        <f ca="1"/>
        <v>1</v>
      </c>
      <c r="BJ22" s="10">
        <f ca="1"/>
        <v>1</v>
      </c>
      <c r="BK22" s="11">
        <f ca="1"/>
        <v>0.23264271679063597</v>
      </c>
      <c r="BL22" s="3"/>
      <c r="BM22" s="3"/>
      <c r="BN22" s="9">
        <f ca="1"/>
        <v>0.29482848402023243</v>
      </c>
      <c r="BO22" s="10">
        <f ca="1"/>
        <v>1</v>
      </c>
      <c r="BP22" s="10">
        <f ca="1"/>
        <v>1</v>
      </c>
      <c r="BQ22" s="10">
        <f ca="1"/>
        <v>1</v>
      </c>
      <c r="BR22" s="11">
        <f ca="1"/>
        <v>0.61985860966187845</v>
      </c>
      <c r="BS22" s="3"/>
      <c r="BU22" s="9">
        <f ca="1"/>
        <v>0.29482848402023243</v>
      </c>
      <c r="BV22" s="10">
        <f ca="1"/>
        <v>0.23950234677576021</v>
      </c>
      <c r="BW22" s="10">
        <f ca="1"/>
        <v>0.31557816623100499</v>
      </c>
      <c r="BX22" s="10">
        <f ca="1"/>
        <v>0.55681087725048883</v>
      </c>
      <c r="BY22" s="11">
        <f ca="1"/>
        <v>0.23264271679063597</v>
      </c>
      <c r="CA22" s="8"/>
      <c r="CB22" s="3"/>
      <c r="CC22" s="3"/>
      <c r="CD22" s="3"/>
    </row>
    <row r="23" spans="1:86" s="1" customFormat="1" ht="18" customHeight="1" x14ac:dyDescent="0.2">
      <c r="A23" s="7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U23" s="3"/>
      <c r="BV23" s="3"/>
      <c r="BW23" s="3"/>
      <c r="BX23" s="3"/>
      <c r="BY23" s="3"/>
      <c r="CA23" s="29"/>
    </row>
    <row r="24" spans="1:86" s="1" customFormat="1" ht="18" customHeight="1" thickBot="1" x14ac:dyDescent="0.25">
      <c r="A24" s="7"/>
      <c r="B24" s="99">
        <v>3</v>
      </c>
      <c r="C24" s="97" t="s">
        <v>12</v>
      </c>
      <c r="D24" s="97"/>
      <c r="E24" s="97"/>
      <c r="F24" s="97"/>
      <c r="G24" s="97"/>
      <c r="H24" s="28"/>
      <c r="I24" s="3"/>
      <c r="J24" s="97" t="str" cm="1">
        <f t="array" aca="1" ref="J24" ca="1">INDEX(Helper!$E$13:$E$22, OFFSET(Helper!$J$13,$B24,J$2))</f>
        <v>Shift Up</v>
      </c>
      <c r="K24" s="97"/>
      <c r="L24" s="97"/>
      <c r="M24" s="97"/>
      <c r="N24" s="97"/>
      <c r="O24" s="3"/>
      <c r="P24" s="3"/>
      <c r="Q24" s="97" t="str" cm="1">
        <f t="array" aca="1" ref="Q24" ca="1">INDEX(Helper!$E$13:$E$22, OFFSET(Helper!$J$13,$B24,Q$2))</f>
        <v>Vertical Flip</v>
      </c>
      <c r="R24" s="97"/>
      <c r="S24" s="97"/>
      <c r="T24" s="97"/>
      <c r="U24" s="97"/>
      <c r="V24" s="3"/>
      <c r="W24" s="3"/>
      <c r="X24" s="97" t="str" cm="1">
        <f t="array" aca="1" ref="X24" ca="1">INDEX(Helper!$E$13:$E$22, OFFSET(Helper!$J$13,$B24,X$2))</f>
        <v>180 Rotation</v>
      </c>
      <c r="Y24" s="97"/>
      <c r="Z24" s="97"/>
      <c r="AA24" s="97"/>
      <c r="AB24" s="97"/>
      <c r="AC24" s="3"/>
      <c r="AD24" s="3"/>
      <c r="AE24" s="97" t="str" cm="1">
        <f t="array" aca="1" ref="AE24" ca="1">INDEX(Helper!$E$13:$E$22, OFFSET(Helper!$J$13,$B24,AE$2))</f>
        <v>Horizontal Flip</v>
      </c>
      <c r="AF24" s="97"/>
      <c r="AG24" s="97"/>
      <c r="AH24" s="97"/>
      <c r="AI24" s="97"/>
      <c r="AJ24" s="3"/>
      <c r="AK24" s="3"/>
      <c r="AL24" s="97" t="str" cm="1">
        <f t="array" aca="1" ref="AL24" ca="1">INDEX(Helper!$E$13:$E$22, OFFSET(Helper!$J$13,$B24,AL$2))</f>
        <v>90 CCW</v>
      </c>
      <c r="AM24" s="97"/>
      <c r="AN24" s="97"/>
      <c r="AO24" s="97"/>
      <c r="AP24" s="97"/>
      <c r="AQ24" s="3"/>
      <c r="AR24" s="3"/>
      <c r="AS24" s="97" t="str" cm="1">
        <f t="array" aca="1" ref="AS24" ca="1">INDEX(Helper!$E$13:$E$22, OFFSET(Helper!$J$13,$B24,AS$2))</f>
        <v>Shift Down</v>
      </c>
      <c r="AT24" s="97"/>
      <c r="AU24" s="97"/>
      <c r="AV24" s="97"/>
      <c r="AW24" s="97"/>
      <c r="AX24" s="3"/>
      <c r="AY24" s="3"/>
      <c r="AZ24" s="97" t="str" cm="1">
        <f t="array" aca="1" ref="AZ24" ca="1">INDEX(Helper!$E$13:$E$22, OFFSET(Helper!$J$13,$B24,AZ$2))</f>
        <v>Shift Right</v>
      </c>
      <c r="BA24" s="97"/>
      <c r="BB24" s="97"/>
      <c r="BC24" s="97"/>
      <c r="BD24" s="97"/>
      <c r="BE24" s="3"/>
      <c r="BG24" s="97" t="str" cm="1">
        <f t="array" aca="1" ref="BG24" ca="1">INDEX(Helper!$E$13:$E$22, OFFSET(Helper!$J$13,$B24,BG$2))</f>
        <v>Shift Left</v>
      </c>
      <c r="BH24" s="97"/>
      <c r="BI24" s="97"/>
      <c r="BJ24" s="97"/>
      <c r="BK24" s="97"/>
      <c r="BL24" s="3"/>
      <c r="BM24" s="3"/>
      <c r="BN24" s="97" t="str" cm="1">
        <f t="array" aca="1" ref="BN24" ca="1">INDEX(Helper!$E$13:$E$22, OFFSET(Helper!$J$13,$B24,BN$2))</f>
        <v>Noise</v>
      </c>
      <c r="BO24" s="97"/>
      <c r="BP24" s="97"/>
      <c r="BQ24" s="97"/>
      <c r="BR24" s="97"/>
      <c r="BS24" s="3"/>
      <c r="BU24" s="97" t="str" cm="1">
        <f t="array" aca="1" ref="BU24" ca="1">INDEX(Helper!$E$13:$E$22, OFFSET(Helper!$J$13,$B24,BU$2))</f>
        <v>90 CW</v>
      </c>
      <c r="BV24" s="97"/>
      <c r="BW24" s="97"/>
      <c r="BX24" s="97"/>
      <c r="BY24" s="97"/>
      <c r="CA24" s="29"/>
    </row>
    <row r="25" spans="1:86" s="1" customFormat="1" ht="18" customHeight="1" x14ac:dyDescent="0.2">
      <c r="A25" s="7"/>
      <c r="B25" s="99"/>
      <c r="C25" s="4">
        <v>0.45498378577616527</v>
      </c>
      <c r="D25" s="5">
        <v>1</v>
      </c>
      <c r="E25" s="5">
        <v>1</v>
      </c>
      <c r="F25" s="5">
        <v>1</v>
      </c>
      <c r="G25" s="6">
        <v>0.22913279859693936</v>
      </c>
      <c r="H25" s="3"/>
      <c r="I25" s="3"/>
      <c r="J25" s="4" cm="1">
        <f t="array" aca="1" ref="J25:N29" ca="1">_xlfn.IFS(J24="None",  $C25:$G29*0,           J24="Horizontal Flip", INDEX($C25:$G29, _xlfn.SEQUENCE(5), 6 - _xlfn.SEQUENCE(1,5)),        J24="Vertical Flip", INDEX($C25:$G29, 6 - _xlfn.SEQUENCE(5), _xlfn.SEQUENCE(1,5)),      J24="180 Rotation", INDEX($C25:$G29, 6 - _xlfn.SEQUENCE(5), 6 - _xlfn.SEQUENCE(1,5)),        J24="90 CW", INDEX($C25:$G29, 6 - _xlfn.SEQUENCE(1,5), _xlfn.SEQUENCE(5)),          J24="90 CCW", INDEX($C25:$G29, _xlfn.SEQUENCE(1,5), 6 - _xlfn.SEQUENCE(5)),         J24="Shift Up", IF(_xlfn.SEQUENCE(5)+1&lt;=5, INDEX($C25:$G29, _xlfn.SEQUENCE(5)+1, _xlfn.SEQUENCE(1,5)), 0),         J24="Shift Down", IF(_xlfn.SEQUENCE(5)-1&gt;=1, INDEX($C25:$G29, _xlfn.SEQUENCE(5)-1, _xlfn.SEQUENCE(1,5)), 0),         J24="Shift Left",   IF(_xlfn.SEQUENCE(1,5)+1&lt;=5, INDEX($C25:$G29, _xlfn.SEQUENCE(5), _xlfn.SEQUENCE(1,5)+1),0),         J24= "Shift Right",  IF(_xlfn.SEQUENCE(1,5)-1&gt;=1, INDEX($C25:$G29, _xlfn.SEQUENCE(5), _xlfn.SEQUENCE(1,5)-1), 0),        J24="Noise",  _xlfn.MAP($C25:$G29 + (_xlfn.RANDARRAY(ROWS($C25:$G29), COLUMNS($C25:$G29)) - 0.5) * 0.4, _xlfn.LAMBDA(_xlpm.x, MAX(0, MIN(1, _xlpm.x)))))</f>
        <v>0.57699790023526143</v>
      </c>
      <c r="K25" s="5">
        <f ca="1"/>
        <v>0.38322233391048466</v>
      </c>
      <c r="L25" s="5">
        <f ca="1"/>
        <v>0.15720975629523659</v>
      </c>
      <c r="M25" s="5">
        <f ca="1"/>
        <v>1</v>
      </c>
      <c r="N25" s="6">
        <f ca="1"/>
        <v>0.30909224377573419</v>
      </c>
      <c r="O25" s="3"/>
      <c r="P25" s="3"/>
      <c r="Q25" s="4" cm="1">
        <f t="array" aca="1" ref="Q25:U29" ca="1">_xlfn.IFS(Q24="None",  $C25:$G29*0,           Q24="Horizontal Flip", INDEX($C25:$G29, _xlfn.SEQUENCE(5), 6 - _xlfn.SEQUENCE(1,5)),        Q24="Vertical Flip", INDEX($C25:$G29, 6 - _xlfn.SEQUENCE(5), _xlfn.SEQUENCE(1,5)),      Q24="180 Rotation", INDEX($C25:$G29, 6 - _xlfn.SEQUENCE(5), 6 - _xlfn.SEQUENCE(1,5)),        Q24="90 CW", INDEX($C25:$G29, 6 - _xlfn.SEQUENCE(1,5), _xlfn.SEQUENCE(5)),          Q24="90 CCW", INDEX($C25:$G29, _xlfn.SEQUENCE(1,5), 6 - _xlfn.SEQUENCE(5)),         Q24="Shift Up", IF(_xlfn.SEQUENCE(5)+1&lt;=5, INDEX($C25:$G29, _xlfn.SEQUENCE(5)+1, _xlfn.SEQUENCE(1,5)), 0),         Q24="Shift Down", IF(_xlfn.SEQUENCE(5)-1&gt;=1, INDEX($C25:$G29, _xlfn.SEQUENCE(5)-1, _xlfn.SEQUENCE(1,5)), 0),         Q24="Shift Left",   IF(_xlfn.SEQUENCE(1,5)+1&lt;=5, INDEX($C25:$G29, _xlfn.SEQUENCE(5), _xlfn.SEQUENCE(1,5)+1),0),         Q24= "Shift Right",  IF(_xlfn.SEQUENCE(1,5)-1&gt;=1, INDEX($C25:$G29, _xlfn.SEQUENCE(5), _xlfn.SEQUENCE(1,5)-1), 0),        Q24="Noise",  _xlfn.MAP($C25:$G29 + (_xlfn.RANDARRAY(ROWS($C25:$G29), COLUMNS($C25:$G29)) - 0.5) * 0.4, _xlfn.LAMBDA(_xlpm.x, MAX(0, MIN(1, _xlpm.x)))))</f>
        <v>0.47361588991659986</v>
      </c>
      <c r="R25" s="5">
        <f ca="1"/>
        <v>1</v>
      </c>
      <c r="S25" s="5">
        <f ca="1"/>
        <v>1</v>
      </c>
      <c r="T25" s="5">
        <f ca="1"/>
        <v>1</v>
      </c>
      <c r="U25" s="6">
        <f ca="1"/>
        <v>0.31808907793569308</v>
      </c>
      <c r="V25" s="3"/>
      <c r="W25" s="3"/>
      <c r="X25" s="4" cm="1">
        <f t="array" aca="1" ref="X25:AB29" ca="1">_xlfn.IFS(X24="None",  $C25:$G29*0,           X24="Horizontal Flip", INDEX($C25:$G29, _xlfn.SEQUENCE(5), 6 - _xlfn.SEQUENCE(1,5)),        X24="Vertical Flip", INDEX($C25:$G29, 6 - _xlfn.SEQUENCE(5), _xlfn.SEQUENCE(1,5)),      X24="180 Rotation", INDEX($C25:$G29, 6 - _xlfn.SEQUENCE(5), 6 - _xlfn.SEQUENCE(1,5)),        X24="90 CW", INDEX($C25:$G29, 6 - _xlfn.SEQUENCE(1,5), _xlfn.SEQUENCE(5)),          X24="90 CCW", INDEX($C25:$G29, _xlfn.SEQUENCE(1,5), 6 - _xlfn.SEQUENCE(5)),         X24="Shift Up", IF(_xlfn.SEQUENCE(5)+1&lt;=5, INDEX($C25:$G29, _xlfn.SEQUENCE(5)+1, _xlfn.SEQUENCE(1,5)), 0),         X24="Shift Down", IF(_xlfn.SEQUENCE(5)-1&gt;=1, INDEX($C25:$G29, _xlfn.SEQUENCE(5)-1, _xlfn.SEQUENCE(1,5)), 0),         X24="Shift Left",   IF(_xlfn.SEQUENCE(1,5)+1&lt;=5, INDEX($C25:$G29, _xlfn.SEQUENCE(5), _xlfn.SEQUENCE(1,5)+1),0),         X24= "Shift Right",  IF(_xlfn.SEQUENCE(1,5)-1&gt;=1, INDEX($C25:$G29, _xlfn.SEQUENCE(5), _xlfn.SEQUENCE(1,5)-1), 0),        X24="Noise",  _xlfn.MAP($C25:$G29 + (_xlfn.RANDARRAY(ROWS($C25:$G29), COLUMNS($C25:$G29)) - 0.5) * 0.4, _xlfn.LAMBDA(_xlpm.x, MAX(0, MIN(1, _xlpm.x)))))</f>
        <v>0.31808907793569308</v>
      </c>
      <c r="Y25" s="5">
        <f ca="1"/>
        <v>1</v>
      </c>
      <c r="Z25" s="5">
        <f ca="1"/>
        <v>1</v>
      </c>
      <c r="AA25" s="5">
        <f ca="1"/>
        <v>1</v>
      </c>
      <c r="AB25" s="6">
        <f ca="1"/>
        <v>0.47361588991659986</v>
      </c>
      <c r="AC25" s="3"/>
      <c r="AD25" s="3"/>
      <c r="AE25" s="4" cm="1">
        <f t="array" aca="1" ref="AE25:AI29" ca="1">_xlfn.IFS(AE24="None",  $C25:$G29*0,           AE24="Horizontal Flip", INDEX($C25:$G29, _xlfn.SEQUENCE(5), 6 - _xlfn.SEQUENCE(1,5)),        AE24="Vertical Flip", INDEX($C25:$G29, 6 - _xlfn.SEQUENCE(5), _xlfn.SEQUENCE(1,5)),      AE24="180 Rotation", INDEX($C25:$G29, 6 - _xlfn.SEQUENCE(5), 6 - _xlfn.SEQUENCE(1,5)),        AE24="90 CW", INDEX($C25:$G29, 6 - _xlfn.SEQUENCE(1,5), _xlfn.SEQUENCE(5)),          AE24="90 CCW", INDEX($C25:$G29, _xlfn.SEQUENCE(1,5), 6 - _xlfn.SEQUENCE(5)),         AE24="Shift Up", IF(_xlfn.SEQUENCE(5)+1&lt;=5, INDEX($C25:$G29, _xlfn.SEQUENCE(5)+1, _xlfn.SEQUENCE(1,5)), 0),         AE24="Shift Down", IF(_xlfn.SEQUENCE(5)-1&gt;=1, INDEX($C25:$G29, _xlfn.SEQUENCE(5)-1, _xlfn.SEQUENCE(1,5)), 0),         AE24="Shift Left",   IF(_xlfn.SEQUENCE(1,5)+1&lt;=5, INDEX($C25:$G29, _xlfn.SEQUENCE(5), _xlfn.SEQUENCE(1,5)+1),0),         AE24= "Shift Right",  IF(_xlfn.SEQUENCE(1,5)-1&gt;=1, INDEX($C25:$G29, _xlfn.SEQUENCE(5), _xlfn.SEQUENCE(1,5)-1), 0),        AE24="Noise",  _xlfn.MAP($C25:$G29 + (_xlfn.RANDARRAY(ROWS($C25:$G29), COLUMNS($C25:$G29)) - 0.5) * 0.4, _xlfn.LAMBDA(_xlpm.x, MAX(0, MIN(1, _xlpm.x)))))</f>
        <v>0.22913279859693936</v>
      </c>
      <c r="AF25" s="5">
        <f ca="1"/>
        <v>1</v>
      </c>
      <c r="AG25" s="5">
        <f ca="1"/>
        <v>1</v>
      </c>
      <c r="AH25" s="5">
        <f ca="1"/>
        <v>1</v>
      </c>
      <c r="AI25" s="6">
        <f ca="1"/>
        <v>0.45498378577616527</v>
      </c>
      <c r="AJ25" s="3"/>
      <c r="AK25" s="3"/>
      <c r="AL25" s="4" cm="1">
        <f t="array" aca="1" ref="AL25:AP29" ca="1">_xlfn.IFS(AL24="None",  $C25:$G29*0,           AL24="Horizontal Flip", INDEX($C25:$G29, _xlfn.SEQUENCE(5), 6 - _xlfn.SEQUENCE(1,5)),        AL24="Vertical Flip", INDEX($C25:$G29, 6 - _xlfn.SEQUENCE(5), _xlfn.SEQUENCE(1,5)),      AL24="180 Rotation", INDEX($C25:$G29, 6 - _xlfn.SEQUENCE(5), 6 - _xlfn.SEQUENCE(1,5)),        AL24="90 CW", INDEX($C25:$G29, 6 - _xlfn.SEQUENCE(1,5), _xlfn.SEQUENCE(5)),          AL24="90 CCW", INDEX($C25:$G29, _xlfn.SEQUENCE(1,5), 6 - _xlfn.SEQUENCE(5)),         AL24="Shift Up", IF(_xlfn.SEQUENCE(5)+1&lt;=5, INDEX($C25:$G29, _xlfn.SEQUENCE(5)+1, _xlfn.SEQUENCE(1,5)), 0),         AL24="Shift Down", IF(_xlfn.SEQUENCE(5)-1&gt;=1, INDEX($C25:$G29, _xlfn.SEQUENCE(5)-1, _xlfn.SEQUENCE(1,5)), 0),         AL24="Shift Left",   IF(_xlfn.SEQUENCE(1,5)+1&lt;=5, INDEX($C25:$G29, _xlfn.SEQUENCE(5), _xlfn.SEQUENCE(1,5)+1),0),         AL24= "Shift Right",  IF(_xlfn.SEQUENCE(1,5)-1&gt;=1, INDEX($C25:$G29, _xlfn.SEQUENCE(5), _xlfn.SEQUENCE(1,5)-1), 0),        AL24="Noise",  _xlfn.MAP($C25:$G29 + (_xlfn.RANDARRAY(ROWS($C25:$G29), COLUMNS($C25:$G29)) - 0.5) * 0.4, _xlfn.LAMBDA(_xlpm.x, MAX(0, MIN(1, _xlpm.x)))))</f>
        <v>0.22913279859693936</v>
      </c>
      <c r="AM25" s="5">
        <f ca="1"/>
        <v>0.30909224377573419</v>
      </c>
      <c r="AN25" s="5">
        <f ca="1"/>
        <v>0.45743298552496059</v>
      </c>
      <c r="AO25" s="5">
        <f ca="1"/>
        <v>0.57160393603370196</v>
      </c>
      <c r="AP25" s="6">
        <f ca="1"/>
        <v>0.31808907793569308</v>
      </c>
      <c r="AQ25" s="3"/>
      <c r="AR25" s="3"/>
      <c r="AS25" s="4" cm="1">
        <f t="array" aca="1" ref="AS25:AW29" ca="1">_xlfn.IFS(AS24="None",  $C25:$G29*0,           AS24="Horizontal Flip", INDEX($C25:$G29, _xlfn.SEQUENCE(5), 6 - _xlfn.SEQUENCE(1,5)),        AS24="Vertical Flip", INDEX($C25:$G29, 6 - _xlfn.SEQUENCE(5), _xlfn.SEQUENCE(1,5)),      AS24="180 Rotation", INDEX($C25:$G29, 6 - _xlfn.SEQUENCE(5), 6 - _xlfn.SEQUENCE(1,5)),        AS24="90 CW", INDEX($C25:$G29, 6 - _xlfn.SEQUENCE(1,5), _xlfn.SEQUENCE(5)),          AS24="90 CCW", INDEX($C25:$G29, _xlfn.SEQUENCE(1,5), 6 - _xlfn.SEQUENCE(5)),         AS24="Shift Up", IF(_xlfn.SEQUENCE(5)+1&lt;=5, INDEX($C25:$G29, _xlfn.SEQUENCE(5)+1, _xlfn.SEQUENCE(1,5)), 0),         AS24="Shift Down", IF(_xlfn.SEQUENCE(5)-1&gt;=1, INDEX($C25:$G29, _xlfn.SEQUENCE(5)-1, _xlfn.SEQUENCE(1,5)), 0),         AS24="Shift Left",   IF(_xlfn.SEQUENCE(1,5)+1&lt;=5, INDEX($C25:$G29, _xlfn.SEQUENCE(5), _xlfn.SEQUENCE(1,5)+1),0),         AS24= "Shift Right",  IF(_xlfn.SEQUENCE(1,5)-1&gt;=1, INDEX($C25:$G29, _xlfn.SEQUENCE(5), _xlfn.SEQUENCE(1,5)-1), 0),        AS24="Noise",  _xlfn.MAP($C25:$G29 + (_xlfn.RANDARRAY(ROWS($C25:$G29), COLUMNS($C25:$G29)) - 0.5) * 0.4, _xlfn.LAMBDA(_xlpm.x, MAX(0, MIN(1, _xlpm.x)))))</f>
        <v>0</v>
      </c>
      <c r="AT25" s="5">
        <f ca="1"/>
        <v>0</v>
      </c>
      <c r="AU25" s="5">
        <f ca="1"/>
        <v>0</v>
      </c>
      <c r="AV25" s="5">
        <f ca="1"/>
        <v>0</v>
      </c>
      <c r="AW25" s="6">
        <f ca="1"/>
        <v>0</v>
      </c>
      <c r="AX25" s="3"/>
      <c r="AY25" s="3"/>
      <c r="AZ25" s="4" cm="1">
        <f t="array" aca="1" ref="AZ25:BD29" ca="1">_xlfn.IFS(AZ24="None",  $C25:$G29*0,           AZ24="Horizontal Flip", INDEX($C25:$G29, _xlfn.SEQUENCE(5), 6 - _xlfn.SEQUENCE(1,5)),        AZ24="Vertical Flip", INDEX($C25:$G29, 6 - _xlfn.SEQUENCE(5), _xlfn.SEQUENCE(1,5)),      AZ24="180 Rotation", INDEX($C25:$G29, 6 - _xlfn.SEQUENCE(5), 6 - _xlfn.SEQUENCE(1,5)),        AZ24="90 CW", INDEX($C25:$G29, 6 - _xlfn.SEQUENCE(1,5), _xlfn.SEQUENCE(5)),          AZ24="90 CCW", INDEX($C25:$G29, _xlfn.SEQUENCE(1,5), 6 - _xlfn.SEQUENCE(5)),         AZ24="Shift Up", IF(_xlfn.SEQUENCE(5)+1&lt;=5, INDEX($C25:$G29, _xlfn.SEQUENCE(5)+1, _xlfn.SEQUENCE(1,5)), 0),         AZ24="Shift Down", IF(_xlfn.SEQUENCE(5)-1&gt;=1, INDEX($C25:$G29, _xlfn.SEQUENCE(5)-1, _xlfn.SEQUENCE(1,5)), 0),         AZ24="Shift Left",   IF(_xlfn.SEQUENCE(1,5)+1&lt;=5, INDEX($C25:$G29, _xlfn.SEQUENCE(5), _xlfn.SEQUENCE(1,5)+1),0),         AZ24= "Shift Right",  IF(_xlfn.SEQUENCE(1,5)-1&gt;=1, INDEX($C25:$G29, _xlfn.SEQUENCE(5), _xlfn.SEQUENCE(1,5)-1), 0),        AZ24="Noise",  _xlfn.MAP($C25:$G29 + (_xlfn.RANDARRAY(ROWS($C25:$G29), COLUMNS($C25:$G29)) - 0.5) * 0.4, _xlfn.LAMBDA(_xlpm.x, MAX(0, MIN(1, _xlpm.x)))))</f>
        <v>0</v>
      </c>
      <c r="BA25" s="5">
        <f ca="1"/>
        <v>0.45498378577616527</v>
      </c>
      <c r="BB25" s="5">
        <f ca="1"/>
        <v>1</v>
      </c>
      <c r="BC25" s="5">
        <f ca="1"/>
        <v>1</v>
      </c>
      <c r="BD25" s="6">
        <f ca="1"/>
        <v>1</v>
      </c>
      <c r="BE25" s="3"/>
      <c r="BG25" s="4" cm="1">
        <f t="array" aca="1" ref="BG25:BK29" ca="1">_xlfn.IFS(BG24="None",  $C25:$G29*0,           BG24="Horizontal Flip", INDEX($C25:$G29, _xlfn.SEQUENCE(5), 6 - _xlfn.SEQUENCE(1,5)),        BG24="Vertical Flip", INDEX($C25:$G29, 6 - _xlfn.SEQUENCE(5), _xlfn.SEQUENCE(1,5)),      BG24="180 Rotation", INDEX($C25:$G29, 6 - _xlfn.SEQUENCE(5), 6 - _xlfn.SEQUENCE(1,5)),        BG24="90 CW", INDEX($C25:$G29, 6 - _xlfn.SEQUENCE(1,5), _xlfn.SEQUENCE(5)),          BG24="90 CCW", INDEX($C25:$G29, _xlfn.SEQUENCE(1,5), 6 - _xlfn.SEQUENCE(5)),         BG24="Shift Up", IF(_xlfn.SEQUENCE(5)+1&lt;=5, INDEX($C25:$G29, _xlfn.SEQUENCE(5)+1, _xlfn.SEQUENCE(1,5)), 0),         BG24="Shift Down", IF(_xlfn.SEQUENCE(5)-1&gt;=1, INDEX($C25:$G29, _xlfn.SEQUENCE(5)-1, _xlfn.SEQUENCE(1,5)), 0),         BG24="Shift Left",   IF(_xlfn.SEQUENCE(1,5)+1&lt;=5, INDEX($C25:$G29, _xlfn.SEQUENCE(5), _xlfn.SEQUENCE(1,5)+1),0),         BG24= "Shift Right",  IF(_xlfn.SEQUENCE(1,5)-1&gt;=1, INDEX($C25:$G29, _xlfn.SEQUENCE(5), _xlfn.SEQUENCE(1,5)-1), 0),        BG24="Noise",  _xlfn.MAP($C25:$G29 + (_xlfn.RANDARRAY(ROWS($C25:$G29), COLUMNS($C25:$G29)) - 0.5) * 0.4, _xlfn.LAMBDA(_xlpm.x, MAX(0, MIN(1, _xlpm.x)))))</f>
        <v>1</v>
      </c>
      <c r="BH25" s="5">
        <f ca="1"/>
        <v>1</v>
      </c>
      <c r="BI25" s="5">
        <f ca="1"/>
        <v>1</v>
      </c>
      <c r="BJ25" s="5">
        <f ca="1"/>
        <v>0.22913279859693936</v>
      </c>
      <c r="BK25" s="6">
        <f ca="1"/>
        <v>0</v>
      </c>
      <c r="BL25" s="3"/>
      <c r="BM25" s="3"/>
      <c r="BN25" s="4" cm="1">
        <f t="array" aca="1" ref="BN25:BR29" ca="1">_xlfn.IFS(BN24="None",  $C25:$G29*0,           BN24="Horizontal Flip", INDEX($C25:$G29, _xlfn.SEQUENCE(5), 6 - _xlfn.SEQUENCE(1,5)),        BN24="Vertical Flip", INDEX($C25:$G29, 6 - _xlfn.SEQUENCE(5), _xlfn.SEQUENCE(1,5)),      BN24="180 Rotation", INDEX($C25:$G29, 6 - _xlfn.SEQUENCE(5), 6 - _xlfn.SEQUENCE(1,5)),        BN24="90 CW", INDEX($C25:$G29, 6 - _xlfn.SEQUENCE(1,5), _xlfn.SEQUENCE(5)),          BN24="90 CCW", INDEX($C25:$G29, _xlfn.SEQUENCE(1,5), 6 - _xlfn.SEQUENCE(5)),         BN24="Shift Up", IF(_xlfn.SEQUENCE(5)+1&lt;=5, INDEX($C25:$G29, _xlfn.SEQUENCE(5)+1, _xlfn.SEQUENCE(1,5)), 0),         BN24="Shift Down", IF(_xlfn.SEQUENCE(5)-1&gt;=1, INDEX($C25:$G29, _xlfn.SEQUENCE(5)-1, _xlfn.SEQUENCE(1,5)), 0),         BN24="Shift Left",   IF(_xlfn.SEQUENCE(1,5)+1&lt;=5, INDEX($C25:$G29, _xlfn.SEQUENCE(5), _xlfn.SEQUENCE(1,5)+1),0),         BN24= "Shift Right",  IF(_xlfn.SEQUENCE(1,5)-1&gt;=1, INDEX($C25:$G29, _xlfn.SEQUENCE(5), _xlfn.SEQUENCE(1,5)-1), 0),        BN24="Noise",  _xlfn.MAP($C25:$G29 + (_xlfn.RANDARRAY(ROWS($C25:$G29), COLUMNS($C25:$G29)) - 0.5) * 0.4, _xlfn.LAMBDA(_xlpm.x, MAX(0, MIN(1, _xlpm.x)))))</f>
        <v>0.38298016121193529</v>
      </c>
      <c r="BO25" s="5">
        <f ca="1"/>
        <v>0.81418052550950348</v>
      </c>
      <c r="BP25" s="5">
        <f ca="1"/>
        <v>1</v>
      </c>
      <c r="BQ25" s="5">
        <f ca="1"/>
        <v>1</v>
      </c>
      <c r="BR25" s="6">
        <f ca="1"/>
        <v>0.23211242233005031</v>
      </c>
      <c r="BS25" s="3"/>
      <c r="BU25" s="4" cm="1">
        <f t="array" aca="1" ref="BU25:BY29" ca="1">_xlfn.IFS(BU24="None",  $C25:$G29*0,           BU24="Horizontal Flip", INDEX($C25:$G29, _xlfn.SEQUENCE(5), 6 - _xlfn.SEQUENCE(1,5)),        BU24="Vertical Flip", INDEX($C25:$G29, 6 - _xlfn.SEQUENCE(5), _xlfn.SEQUENCE(1,5)),      BU24="180 Rotation", INDEX($C25:$G29, 6 - _xlfn.SEQUENCE(5), 6 - _xlfn.SEQUENCE(1,5)),        BU24="90 CW", INDEX($C25:$G29, 6 - _xlfn.SEQUENCE(1,5), _xlfn.SEQUENCE(5)),          BU24="90 CCW", INDEX($C25:$G29, _xlfn.SEQUENCE(1,5), 6 - _xlfn.SEQUENCE(5)),         BU24="Shift Up", IF(_xlfn.SEQUENCE(5)+1&lt;=5, INDEX($C25:$G29, _xlfn.SEQUENCE(5)+1, _xlfn.SEQUENCE(1,5)), 0),         BU24="Shift Down", IF(_xlfn.SEQUENCE(5)-1&gt;=1, INDEX($C25:$G29, _xlfn.SEQUENCE(5)-1, _xlfn.SEQUENCE(1,5)), 0),         BU24="Shift Left",   IF(_xlfn.SEQUENCE(1,5)+1&lt;=5, INDEX($C25:$G29, _xlfn.SEQUENCE(5), _xlfn.SEQUENCE(1,5)+1),0),         BU24= "Shift Right",  IF(_xlfn.SEQUENCE(1,5)-1&gt;=1, INDEX($C25:$G29, _xlfn.SEQUENCE(5), _xlfn.SEQUENCE(1,5)-1), 0),        BU24="Noise",  _xlfn.MAP($C25:$G29 + (_xlfn.RANDARRAY(ROWS($C25:$G29), COLUMNS($C25:$G29)) - 0.5) * 0.4, _xlfn.LAMBDA(_xlpm.x, MAX(0, MIN(1, _xlpm.x)))))</f>
        <v>0.47361588991659986</v>
      </c>
      <c r="BV25" s="5">
        <f ca="1"/>
        <v>0.24288143673775597</v>
      </c>
      <c r="BW25" s="5">
        <f ca="1"/>
        <v>0.41181979389349366</v>
      </c>
      <c r="BX25" s="5">
        <f ca="1"/>
        <v>0.57699790023526143</v>
      </c>
      <c r="BY25" s="6">
        <f ca="1"/>
        <v>0.45498378577616527</v>
      </c>
      <c r="CA25" s="29"/>
    </row>
    <row r="26" spans="1:86" s="1" customFormat="1" ht="18" customHeight="1" x14ac:dyDescent="0.2">
      <c r="A26" s="7"/>
      <c r="B26" s="99"/>
      <c r="C26" s="7">
        <v>0.57699790023526143</v>
      </c>
      <c r="D26" s="3">
        <v>0.38322233391048466</v>
      </c>
      <c r="E26" s="3">
        <v>0.15720975629523659</v>
      </c>
      <c r="F26" s="3">
        <v>1</v>
      </c>
      <c r="G26" s="8">
        <v>0.30909224377573419</v>
      </c>
      <c r="H26" s="3"/>
      <c r="I26" s="3"/>
      <c r="J26" s="7">
        <f ca="1"/>
        <v>0.41181979389349366</v>
      </c>
      <c r="K26" s="3">
        <f ca="1"/>
        <v>1</v>
      </c>
      <c r="L26" s="3">
        <f ca="1"/>
        <v>1</v>
      </c>
      <c r="M26" s="3">
        <f ca="1"/>
        <v>1</v>
      </c>
      <c r="N26" s="8">
        <f ca="1"/>
        <v>0.45743298552496059</v>
      </c>
      <c r="O26" s="3"/>
      <c r="P26" s="3"/>
      <c r="Q26" s="7">
        <f ca="1"/>
        <v>0.24288143673775597</v>
      </c>
      <c r="R26" s="3">
        <f ca="1"/>
        <v>0.43554735985079762</v>
      </c>
      <c r="S26" s="3">
        <f ca="1"/>
        <v>0.17145440958570068</v>
      </c>
      <c r="T26" s="3">
        <f ca="1"/>
        <v>1</v>
      </c>
      <c r="U26" s="8">
        <f ca="1"/>
        <v>0.57160393603370196</v>
      </c>
      <c r="V26" s="3"/>
      <c r="W26" s="3"/>
      <c r="X26" s="7">
        <f ca="1"/>
        <v>0.57160393603370196</v>
      </c>
      <c r="Y26" s="3">
        <f ca="1"/>
        <v>1</v>
      </c>
      <c r="Z26" s="3">
        <f ca="1"/>
        <v>0.17145440958570068</v>
      </c>
      <c r="AA26" s="3">
        <f ca="1"/>
        <v>0.43554735985079762</v>
      </c>
      <c r="AB26" s="8">
        <f ca="1"/>
        <v>0.24288143673775597</v>
      </c>
      <c r="AC26" s="3"/>
      <c r="AD26" s="3"/>
      <c r="AE26" s="7">
        <f ca="1"/>
        <v>0.30909224377573419</v>
      </c>
      <c r="AF26" s="3">
        <f ca="1"/>
        <v>1</v>
      </c>
      <c r="AG26" s="3">
        <f ca="1"/>
        <v>0.15720975629523659</v>
      </c>
      <c r="AH26" s="3">
        <f ca="1"/>
        <v>0.38322233391048466</v>
      </c>
      <c r="AI26" s="8">
        <f ca="1"/>
        <v>0.57699790023526143</v>
      </c>
      <c r="AJ26" s="3"/>
      <c r="AK26" s="3"/>
      <c r="AL26" s="7">
        <f ca="1"/>
        <v>1</v>
      </c>
      <c r="AM26" s="3">
        <f ca="1"/>
        <v>1</v>
      </c>
      <c r="AN26" s="3">
        <f ca="1"/>
        <v>1</v>
      </c>
      <c r="AO26" s="3">
        <f ca="1"/>
        <v>1</v>
      </c>
      <c r="AP26" s="8">
        <f ca="1"/>
        <v>1</v>
      </c>
      <c r="AQ26" s="3"/>
      <c r="AR26" s="3"/>
      <c r="AS26" s="7">
        <f ca="1"/>
        <v>0.45498378577616527</v>
      </c>
      <c r="AT26" s="3">
        <f ca="1"/>
        <v>1</v>
      </c>
      <c r="AU26" s="3">
        <f ca="1"/>
        <v>1</v>
      </c>
      <c r="AV26" s="3">
        <f ca="1"/>
        <v>1</v>
      </c>
      <c r="AW26" s="8">
        <f ca="1"/>
        <v>0.22913279859693936</v>
      </c>
      <c r="AX26" s="3"/>
      <c r="AY26" s="3"/>
      <c r="AZ26" s="7">
        <f ca="1"/>
        <v>0</v>
      </c>
      <c r="BA26" s="3">
        <f ca="1"/>
        <v>0.57699790023526143</v>
      </c>
      <c r="BB26" s="3">
        <f ca="1"/>
        <v>0.38322233391048466</v>
      </c>
      <c r="BC26" s="3">
        <f ca="1"/>
        <v>0.15720975629523659</v>
      </c>
      <c r="BD26" s="8">
        <f ca="1"/>
        <v>1</v>
      </c>
      <c r="BE26" s="3"/>
      <c r="BG26" s="7">
        <f ca="1"/>
        <v>0.38322233391048466</v>
      </c>
      <c r="BH26" s="3">
        <f ca="1"/>
        <v>0.15720975629523659</v>
      </c>
      <c r="BI26" s="3">
        <f ca="1"/>
        <v>1</v>
      </c>
      <c r="BJ26" s="3">
        <f ca="1"/>
        <v>0.30909224377573419</v>
      </c>
      <c r="BK26" s="8">
        <f ca="1"/>
        <v>0</v>
      </c>
      <c r="BL26" s="3"/>
      <c r="BM26" s="3"/>
      <c r="BN26" s="7">
        <f ca="1"/>
        <v>0.49375778314087942</v>
      </c>
      <c r="BO26" s="3">
        <f ca="1"/>
        <v>0.35914579233213462</v>
      </c>
      <c r="BP26" s="3">
        <f ca="1"/>
        <v>9.7925833719687813E-2</v>
      </c>
      <c r="BQ26" s="3">
        <f ca="1"/>
        <v>0.95137021734438121</v>
      </c>
      <c r="BR26" s="8">
        <f ca="1"/>
        <v>0.29595642977620895</v>
      </c>
      <c r="BS26" s="3"/>
      <c r="BU26" s="7">
        <f ca="1"/>
        <v>1</v>
      </c>
      <c r="BV26" s="3">
        <f ca="1"/>
        <v>0.43554735985079762</v>
      </c>
      <c r="BW26" s="3">
        <f ca="1"/>
        <v>1</v>
      </c>
      <c r="BX26" s="3">
        <f ca="1"/>
        <v>0.38322233391048466</v>
      </c>
      <c r="BY26" s="8">
        <f ca="1"/>
        <v>1</v>
      </c>
      <c r="CA26" s="29"/>
    </row>
    <row r="27" spans="1:86" s="1" customFormat="1" ht="18" customHeight="1" x14ac:dyDescent="0.2">
      <c r="A27" s="7"/>
      <c r="B27" s="99"/>
      <c r="C27" s="7">
        <v>0.41181979389349366</v>
      </c>
      <c r="D27" s="3">
        <v>1</v>
      </c>
      <c r="E27" s="3">
        <v>1</v>
      </c>
      <c r="F27" s="3">
        <v>1</v>
      </c>
      <c r="G27" s="8">
        <v>0.45743298552496059</v>
      </c>
      <c r="H27" s="3"/>
      <c r="I27" s="3"/>
      <c r="J27" s="7">
        <f ca="1"/>
        <v>0.24288143673775597</v>
      </c>
      <c r="K27" s="3">
        <f ca="1"/>
        <v>0.43554735985079762</v>
      </c>
      <c r="L27" s="3">
        <f ca="1"/>
        <v>0.17145440958570068</v>
      </c>
      <c r="M27" s="3">
        <f ca="1"/>
        <v>1</v>
      </c>
      <c r="N27" s="8">
        <f ca="1"/>
        <v>0.57160393603370196</v>
      </c>
      <c r="O27" s="3"/>
      <c r="P27" s="3"/>
      <c r="Q27" s="7">
        <f ca="1"/>
        <v>0.41181979389349366</v>
      </c>
      <c r="R27" s="3">
        <f ca="1"/>
        <v>1</v>
      </c>
      <c r="S27" s="3">
        <f ca="1"/>
        <v>1</v>
      </c>
      <c r="T27" s="3">
        <f ca="1"/>
        <v>1</v>
      </c>
      <c r="U27" s="8">
        <f ca="1"/>
        <v>0.45743298552496059</v>
      </c>
      <c r="V27" s="3"/>
      <c r="W27" s="3"/>
      <c r="X27" s="7">
        <f ca="1"/>
        <v>0.45743298552496059</v>
      </c>
      <c r="Y27" s="3">
        <f ca="1"/>
        <v>1</v>
      </c>
      <c r="Z27" s="3">
        <f ca="1"/>
        <v>1</v>
      </c>
      <c r="AA27" s="3">
        <f ca="1"/>
        <v>1</v>
      </c>
      <c r="AB27" s="8">
        <f ca="1"/>
        <v>0.41181979389349366</v>
      </c>
      <c r="AC27" s="3"/>
      <c r="AD27" s="3"/>
      <c r="AE27" s="7">
        <f ca="1"/>
        <v>0.45743298552496059</v>
      </c>
      <c r="AF27" s="3">
        <f ca="1"/>
        <v>1</v>
      </c>
      <c r="AG27" s="3">
        <f ca="1"/>
        <v>1</v>
      </c>
      <c r="AH27" s="3">
        <f ca="1"/>
        <v>1</v>
      </c>
      <c r="AI27" s="8">
        <f ca="1"/>
        <v>0.41181979389349366</v>
      </c>
      <c r="AJ27" s="3"/>
      <c r="AK27" s="3"/>
      <c r="AL27" s="7">
        <f ca="1"/>
        <v>1</v>
      </c>
      <c r="AM27" s="3">
        <f ca="1"/>
        <v>0.15720975629523659</v>
      </c>
      <c r="AN27" s="3">
        <f ca="1"/>
        <v>1</v>
      </c>
      <c r="AO27" s="3">
        <f ca="1"/>
        <v>0.17145440958570068</v>
      </c>
      <c r="AP27" s="8">
        <f ca="1"/>
        <v>1</v>
      </c>
      <c r="AQ27" s="3"/>
      <c r="AR27" s="3"/>
      <c r="AS27" s="7">
        <f ca="1"/>
        <v>0.57699790023526143</v>
      </c>
      <c r="AT27" s="3">
        <f ca="1"/>
        <v>0.38322233391048466</v>
      </c>
      <c r="AU27" s="3">
        <f ca="1"/>
        <v>0.15720975629523659</v>
      </c>
      <c r="AV27" s="3">
        <f ca="1"/>
        <v>1</v>
      </c>
      <c r="AW27" s="8">
        <f ca="1"/>
        <v>0.30909224377573419</v>
      </c>
      <c r="AX27" s="3"/>
      <c r="AY27" s="3"/>
      <c r="AZ27" s="7">
        <f ca="1"/>
        <v>0</v>
      </c>
      <c r="BA27" s="3">
        <f ca="1"/>
        <v>0.41181979389349366</v>
      </c>
      <c r="BB27" s="3">
        <f ca="1"/>
        <v>1</v>
      </c>
      <c r="BC27" s="3">
        <f ca="1"/>
        <v>1</v>
      </c>
      <c r="BD27" s="8">
        <f ca="1"/>
        <v>1</v>
      </c>
      <c r="BE27" s="3"/>
      <c r="BG27" s="7">
        <f ca="1"/>
        <v>1</v>
      </c>
      <c r="BH27" s="3">
        <f ca="1"/>
        <v>1</v>
      </c>
      <c r="BI27" s="3">
        <f ca="1"/>
        <v>1</v>
      </c>
      <c r="BJ27" s="3">
        <f ca="1"/>
        <v>0.45743298552496059</v>
      </c>
      <c r="BK27" s="8">
        <f ca="1"/>
        <v>0</v>
      </c>
      <c r="BL27" s="3"/>
      <c r="BM27" s="3"/>
      <c r="BN27" s="7">
        <f ca="1"/>
        <v>0.53166268063415612</v>
      </c>
      <c r="BO27" s="3">
        <f ca="1"/>
        <v>0.99976058933460654</v>
      </c>
      <c r="BP27" s="3">
        <f ca="1"/>
        <v>1</v>
      </c>
      <c r="BQ27" s="3">
        <f ca="1"/>
        <v>0.91872386027126374</v>
      </c>
      <c r="BR27" s="8">
        <f ca="1"/>
        <v>0.26493491697710353</v>
      </c>
      <c r="BS27" s="3"/>
      <c r="BU27" s="7">
        <f ca="1"/>
        <v>1</v>
      </c>
      <c r="BV27" s="3">
        <f ca="1"/>
        <v>0.17145440958570068</v>
      </c>
      <c r="BW27" s="3">
        <f ca="1"/>
        <v>1</v>
      </c>
      <c r="BX27" s="3">
        <f ca="1"/>
        <v>0.15720975629523659</v>
      </c>
      <c r="BY27" s="8">
        <f ca="1"/>
        <v>1</v>
      </c>
      <c r="CA27" s="29"/>
    </row>
    <row r="28" spans="1:86" s="1" customFormat="1" ht="18" customHeight="1" x14ac:dyDescent="0.2">
      <c r="A28" s="7"/>
      <c r="B28" s="99"/>
      <c r="C28" s="7">
        <v>0.24288143673775597</v>
      </c>
      <c r="D28" s="3">
        <v>0.43554735985079762</v>
      </c>
      <c r="E28" s="3">
        <v>0.17145440958570068</v>
      </c>
      <c r="F28" s="3">
        <v>1</v>
      </c>
      <c r="G28" s="8">
        <v>0.57160393603370196</v>
      </c>
      <c r="H28" s="3"/>
      <c r="I28" s="3"/>
      <c r="J28" s="7">
        <f ca="1"/>
        <v>0.47361588991659986</v>
      </c>
      <c r="K28" s="3">
        <f ca="1"/>
        <v>1</v>
      </c>
      <c r="L28" s="3">
        <f ca="1"/>
        <v>1</v>
      </c>
      <c r="M28" s="3">
        <f ca="1"/>
        <v>1</v>
      </c>
      <c r="N28" s="8">
        <f ca="1"/>
        <v>0.31808907793569308</v>
      </c>
      <c r="O28" s="3"/>
      <c r="P28" s="3"/>
      <c r="Q28" s="7">
        <f ca="1"/>
        <v>0.57699790023526143</v>
      </c>
      <c r="R28" s="3">
        <f ca="1"/>
        <v>0.38322233391048466</v>
      </c>
      <c r="S28" s="3">
        <f ca="1"/>
        <v>0.15720975629523659</v>
      </c>
      <c r="T28" s="3">
        <f ca="1"/>
        <v>1</v>
      </c>
      <c r="U28" s="8">
        <f ca="1"/>
        <v>0.30909224377573419</v>
      </c>
      <c r="V28" s="3"/>
      <c r="W28" s="3"/>
      <c r="X28" s="7">
        <f ca="1"/>
        <v>0.30909224377573419</v>
      </c>
      <c r="Y28" s="3">
        <f ca="1"/>
        <v>1</v>
      </c>
      <c r="Z28" s="3">
        <f ca="1"/>
        <v>0.15720975629523659</v>
      </c>
      <c r="AA28" s="3">
        <f ca="1"/>
        <v>0.38322233391048466</v>
      </c>
      <c r="AB28" s="8">
        <f ca="1"/>
        <v>0.57699790023526143</v>
      </c>
      <c r="AC28" s="3"/>
      <c r="AD28" s="3"/>
      <c r="AE28" s="7">
        <f ca="1"/>
        <v>0.57160393603370196</v>
      </c>
      <c r="AF28" s="3">
        <f ca="1"/>
        <v>1</v>
      </c>
      <c r="AG28" s="3">
        <f ca="1"/>
        <v>0.17145440958570068</v>
      </c>
      <c r="AH28" s="3">
        <f ca="1"/>
        <v>0.43554735985079762</v>
      </c>
      <c r="AI28" s="8">
        <f ca="1"/>
        <v>0.24288143673775597</v>
      </c>
      <c r="AJ28" s="3"/>
      <c r="AK28" s="3"/>
      <c r="AL28" s="7">
        <f ca="1"/>
        <v>1</v>
      </c>
      <c r="AM28" s="3">
        <f ca="1"/>
        <v>0.38322233391048466</v>
      </c>
      <c r="AN28" s="3">
        <f ca="1"/>
        <v>1</v>
      </c>
      <c r="AO28" s="3">
        <f ca="1"/>
        <v>0.43554735985079762</v>
      </c>
      <c r="AP28" s="8">
        <f ca="1"/>
        <v>1</v>
      </c>
      <c r="AQ28" s="3"/>
      <c r="AR28" s="3"/>
      <c r="AS28" s="7">
        <f ca="1"/>
        <v>0.41181979389349366</v>
      </c>
      <c r="AT28" s="3">
        <f ca="1"/>
        <v>1</v>
      </c>
      <c r="AU28" s="3">
        <f ca="1"/>
        <v>1</v>
      </c>
      <c r="AV28" s="3">
        <f ca="1"/>
        <v>1</v>
      </c>
      <c r="AW28" s="8">
        <f ca="1"/>
        <v>0.45743298552496059</v>
      </c>
      <c r="AX28" s="3"/>
      <c r="AY28" s="3"/>
      <c r="AZ28" s="7">
        <f ca="1"/>
        <v>0</v>
      </c>
      <c r="BA28" s="3">
        <f ca="1"/>
        <v>0.24288143673775597</v>
      </c>
      <c r="BB28" s="3">
        <f ca="1"/>
        <v>0.43554735985079762</v>
      </c>
      <c r="BC28" s="3">
        <f ca="1"/>
        <v>0.17145440958570068</v>
      </c>
      <c r="BD28" s="8">
        <f ca="1"/>
        <v>1</v>
      </c>
      <c r="BE28" s="3"/>
      <c r="BG28" s="7">
        <f ca="1"/>
        <v>0.43554735985079762</v>
      </c>
      <c r="BH28" s="3">
        <f ca="1"/>
        <v>0.17145440958570068</v>
      </c>
      <c r="BI28" s="3">
        <f ca="1"/>
        <v>1</v>
      </c>
      <c r="BJ28" s="3">
        <f ca="1"/>
        <v>0.57160393603370196</v>
      </c>
      <c r="BK28" s="8">
        <f ca="1"/>
        <v>0</v>
      </c>
      <c r="BL28" s="3"/>
      <c r="BM28" s="3"/>
      <c r="BN28" s="7">
        <f ca="1"/>
        <v>0.27785129746161491</v>
      </c>
      <c r="BO28" s="3">
        <f ca="1"/>
        <v>0.5633868601535913</v>
      </c>
      <c r="BP28" s="3">
        <f ca="1"/>
        <v>0.31183654741403655</v>
      </c>
      <c r="BQ28" s="3">
        <f ca="1"/>
        <v>1</v>
      </c>
      <c r="BR28" s="8">
        <f ca="1"/>
        <v>0.71080894051641519</v>
      </c>
      <c r="BS28" s="3"/>
      <c r="BU28" s="7">
        <f ca="1"/>
        <v>1</v>
      </c>
      <c r="BV28" s="3">
        <f ca="1"/>
        <v>1</v>
      </c>
      <c r="BW28" s="3">
        <f ca="1"/>
        <v>1</v>
      </c>
      <c r="BX28" s="3">
        <f ca="1"/>
        <v>1</v>
      </c>
      <c r="BY28" s="8">
        <f ca="1"/>
        <v>1</v>
      </c>
      <c r="CA28" s="29"/>
    </row>
    <row r="29" spans="1:86" s="1" customFormat="1" ht="18" customHeight="1" thickBot="1" x14ac:dyDescent="0.25">
      <c r="A29" s="7"/>
      <c r="B29" s="99"/>
      <c r="C29" s="9">
        <v>0.47361588991659986</v>
      </c>
      <c r="D29" s="10">
        <v>1</v>
      </c>
      <c r="E29" s="10">
        <v>1</v>
      </c>
      <c r="F29" s="10">
        <v>1</v>
      </c>
      <c r="G29" s="11">
        <v>0.31808907793569308</v>
      </c>
      <c r="H29" s="3"/>
      <c r="I29" s="3"/>
      <c r="J29" s="9">
        <f ca="1"/>
        <v>0</v>
      </c>
      <c r="K29" s="10">
        <f ca="1"/>
        <v>0</v>
      </c>
      <c r="L29" s="10">
        <f ca="1"/>
        <v>0</v>
      </c>
      <c r="M29" s="10">
        <f ca="1"/>
        <v>0</v>
      </c>
      <c r="N29" s="11">
        <f ca="1"/>
        <v>0</v>
      </c>
      <c r="O29" s="3"/>
      <c r="P29" s="3"/>
      <c r="Q29" s="9">
        <f ca="1"/>
        <v>0.45498378577616527</v>
      </c>
      <c r="R29" s="10">
        <f ca="1"/>
        <v>1</v>
      </c>
      <c r="S29" s="10">
        <f ca="1"/>
        <v>1</v>
      </c>
      <c r="T29" s="10">
        <f ca="1"/>
        <v>1</v>
      </c>
      <c r="U29" s="11">
        <f ca="1"/>
        <v>0.22913279859693936</v>
      </c>
      <c r="V29" s="3"/>
      <c r="W29" s="3"/>
      <c r="X29" s="9">
        <f ca="1"/>
        <v>0.22913279859693936</v>
      </c>
      <c r="Y29" s="10">
        <f ca="1"/>
        <v>1</v>
      </c>
      <c r="Z29" s="10">
        <f ca="1"/>
        <v>1</v>
      </c>
      <c r="AA29" s="10">
        <f ca="1"/>
        <v>1</v>
      </c>
      <c r="AB29" s="11">
        <f ca="1"/>
        <v>0.45498378577616527</v>
      </c>
      <c r="AC29" s="3"/>
      <c r="AD29" s="3"/>
      <c r="AE29" s="9">
        <f ca="1"/>
        <v>0.31808907793569308</v>
      </c>
      <c r="AF29" s="10">
        <f ca="1"/>
        <v>1</v>
      </c>
      <c r="AG29" s="10">
        <f ca="1"/>
        <v>1</v>
      </c>
      <c r="AH29" s="10">
        <f ca="1"/>
        <v>1</v>
      </c>
      <c r="AI29" s="11">
        <f ca="1"/>
        <v>0.47361588991659986</v>
      </c>
      <c r="AJ29" s="3"/>
      <c r="AK29" s="3"/>
      <c r="AL29" s="9">
        <f ca="1"/>
        <v>0.45498378577616527</v>
      </c>
      <c r="AM29" s="10">
        <f ca="1"/>
        <v>0.57699790023526143</v>
      </c>
      <c r="AN29" s="10">
        <f ca="1"/>
        <v>0.41181979389349366</v>
      </c>
      <c r="AO29" s="10">
        <f ca="1"/>
        <v>0.24288143673775597</v>
      </c>
      <c r="AP29" s="11">
        <f ca="1"/>
        <v>0.47361588991659986</v>
      </c>
      <c r="AQ29" s="3"/>
      <c r="AR29" s="3"/>
      <c r="AS29" s="9">
        <f ca="1"/>
        <v>0.24288143673775597</v>
      </c>
      <c r="AT29" s="10">
        <f ca="1"/>
        <v>0.43554735985079762</v>
      </c>
      <c r="AU29" s="10">
        <f ca="1"/>
        <v>0.17145440958570068</v>
      </c>
      <c r="AV29" s="10">
        <f ca="1"/>
        <v>1</v>
      </c>
      <c r="AW29" s="11">
        <f ca="1"/>
        <v>0.57160393603370196</v>
      </c>
      <c r="AX29" s="3"/>
      <c r="AY29" s="3"/>
      <c r="AZ29" s="9">
        <f ca="1"/>
        <v>0</v>
      </c>
      <c r="BA29" s="10">
        <f ca="1"/>
        <v>0.47361588991659986</v>
      </c>
      <c r="BB29" s="10">
        <f ca="1"/>
        <v>1</v>
      </c>
      <c r="BC29" s="10">
        <f ca="1"/>
        <v>1</v>
      </c>
      <c r="BD29" s="11">
        <f ca="1"/>
        <v>1</v>
      </c>
      <c r="BE29" s="3"/>
      <c r="BG29" s="9">
        <f ca="1"/>
        <v>1</v>
      </c>
      <c r="BH29" s="10">
        <f ca="1"/>
        <v>1</v>
      </c>
      <c r="BI29" s="10">
        <f ca="1"/>
        <v>1</v>
      </c>
      <c r="BJ29" s="10">
        <f ca="1"/>
        <v>0.31808907793569308</v>
      </c>
      <c r="BK29" s="11">
        <f ca="1"/>
        <v>0</v>
      </c>
      <c r="BL29" s="3"/>
      <c r="BM29" s="3"/>
      <c r="BN29" s="9">
        <f ca="1"/>
        <v>0.46232983142421902</v>
      </c>
      <c r="BO29" s="10">
        <f ca="1"/>
        <v>0.90142359163277352</v>
      </c>
      <c r="BP29" s="10">
        <f ca="1"/>
        <v>0.92797074119761258</v>
      </c>
      <c r="BQ29" s="10">
        <f ca="1"/>
        <v>0.83517266731778828</v>
      </c>
      <c r="BR29" s="11">
        <f ca="1"/>
        <v>0.37532968669199362</v>
      </c>
      <c r="BS29" s="3"/>
      <c r="BU29" s="9">
        <f ca="1"/>
        <v>0.31808907793569308</v>
      </c>
      <c r="BV29" s="10">
        <f ca="1"/>
        <v>0.57160393603370196</v>
      </c>
      <c r="BW29" s="10">
        <f ca="1"/>
        <v>0.45743298552496059</v>
      </c>
      <c r="BX29" s="10">
        <f ca="1"/>
        <v>0.30909224377573419</v>
      </c>
      <c r="BY29" s="11">
        <f ca="1"/>
        <v>0.22913279859693936</v>
      </c>
      <c r="CA29" s="29"/>
    </row>
    <row r="30" spans="1:86" s="1" customFormat="1" ht="18" customHeight="1" x14ac:dyDescent="0.2">
      <c r="A30" s="7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U30" s="3"/>
      <c r="BV30" s="3"/>
      <c r="BW30" s="3"/>
      <c r="BX30" s="3"/>
      <c r="BY30" s="3"/>
      <c r="CA30" s="29"/>
    </row>
    <row r="31" spans="1:86" s="1" customFormat="1" ht="18" customHeight="1" thickBot="1" x14ac:dyDescent="0.25">
      <c r="A31" s="7"/>
      <c r="B31" s="99">
        <v>4</v>
      </c>
      <c r="C31" s="97" t="s">
        <v>12</v>
      </c>
      <c r="D31" s="97"/>
      <c r="E31" s="97"/>
      <c r="F31" s="97"/>
      <c r="G31" s="97"/>
      <c r="H31" s="28"/>
      <c r="I31" s="3"/>
      <c r="J31" s="97" t="str" cm="1">
        <f t="array" aca="1" ref="J31" ca="1">INDEX(Helper!$E$13:$E$22, OFFSET(Helper!$J$13,$B31,J$2))</f>
        <v>180 Rotation</v>
      </c>
      <c r="K31" s="97"/>
      <c r="L31" s="97"/>
      <c r="M31" s="97"/>
      <c r="N31" s="97"/>
      <c r="O31" s="3"/>
      <c r="P31" s="3"/>
      <c r="Q31" s="97" t="str" cm="1">
        <f t="array" aca="1" ref="Q31" ca="1">INDEX(Helper!$E$13:$E$22, OFFSET(Helper!$J$13,$B31,Q$2))</f>
        <v>Shift Right</v>
      </c>
      <c r="R31" s="97"/>
      <c r="S31" s="97"/>
      <c r="T31" s="97"/>
      <c r="U31" s="97"/>
      <c r="V31" s="3"/>
      <c r="W31" s="3"/>
      <c r="X31" s="97" t="str" cm="1">
        <f t="array" aca="1" ref="X31" ca="1">INDEX(Helper!$E$13:$E$22, OFFSET(Helper!$J$13,$B31,X$2))</f>
        <v>Shift Up</v>
      </c>
      <c r="Y31" s="97"/>
      <c r="Z31" s="97"/>
      <c r="AA31" s="97"/>
      <c r="AB31" s="97"/>
      <c r="AC31" s="3"/>
      <c r="AD31" s="3"/>
      <c r="AE31" s="97" t="str" cm="1">
        <f t="array" aca="1" ref="AE31" ca="1">INDEX(Helper!$E$13:$E$22, OFFSET(Helper!$J$13,$B31,AE$2))</f>
        <v>90 CW</v>
      </c>
      <c r="AF31" s="97"/>
      <c r="AG31" s="97"/>
      <c r="AH31" s="97"/>
      <c r="AI31" s="97"/>
      <c r="AJ31" s="3"/>
      <c r="AK31" s="3"/>
      <c r="AL31" s="97" t="str" cm="1">
        <f t="array" aca="1" ref="AL31" ca="1">INDEX(Helper!$E$13:$E$22, OFFSET(Helper!$J$13,$B31,AL$2))</f>
        <v>Shift Left</v>
      </c>
      <c r="AM31" s="97"/>
      <c r="AN31" s="97"/>
      <c r="AO31" s="97"/>
      <c r="AP31" s="97"/>
      <c r="AQ31" s="3"/>
      <c r="AR31" s="3"/>
      <c r="AS31" s="97" t="str" cm="1">
        <f t="array" aca="1" ref="AS31" ca="1">INDEX(Helper!$E$13:$E$22, OFFSET(Helper!$J$13,$B31,AS$2))</f>
        <v>Vertical Flip</v>
      </c>
      <c r="AT31" s="97"/>
      <c r="AU31" s="97"/>
      <c r="AV31" s="97"/>
      <c r="AW31" s="97"/>
      <c r="AX31" s="3"/>
      <c r="AY31" s="3"/>
      <c r="AZ31" s="97" t="str" cm="1">
        <f t="array" aca="1" ref="AZ31" ca="1">INDEX(Helper!$E$13:$E$22, OFFSET(Helper!$J$13,$B31,AZ$2))</f>
        <v>90 CCW</v>
      </c>
      <c r="BA31" s="97"/>
      <c r="BB31" s="97"/>
      <c r="BC31" s="97"/>
      <c r="BD31" s="97"/>
      <c r="BE31" s="3"/>
      <c r="BG31" s="97" t="str" cm="1">
        <f t="array" aca="1" ref="BG31" ca="1">INDEX(Helper!$E$13:$E$22, OFFSET(Helper!$J$13,$B31,BG$2))</f>
        <v>Horizontal Flip</v>
      </c>
      <c r="BH31" s="97"/>
      <c r="BI31" s="97"/>
      <c r="BJ31" s="97"/>
      <c r="BK31" s="97"/>
      <c r="BL31" s="3"/>
      <c r="BM31" s="3"/>
      <c r="BN31" s="97" t="str" cm="1">
        <f t="array" aca="1" ref="BN31" ca="1">INDEX(Helper!$E$13:$E$22, OFFSET(Helper!$J$13,$B31,BN$2))</f>
        <v>Shift Down</v>
      </c>
      <c r="BO31" s="97"/>
      <c r="BP31" s="97"/>
      <c r="BQ31" s="97"/>
      <c r="BR31" s="97"/>
      <c r="BS31" s="3"/>
      <c r="BU31" s="97" t="str" cm="1">
        <f t="array" aca="1" ref="BU31" ca="1">INDEX(Helper!$E$13:$E$22, OFFSET(Helper!$J$13,$B31,BU$2))</f>
        <v>Noise</v>
      </c>
      <c r="BV31" s="97"/>
      <c r="BW31" s="97"/>
      <c r="BX31" s="97"/>
      <c r="BY31" s="97"/>
      <c r="CA31" s="29"/>
    </row>
    <row r="32" spans="1:86" s="1" customFormat="1" ht="18" customHeight="1" x14ac:dyDescent="0.2">
      <c r="A32" s="7"/>
      <c r="B32" s="99"/>
      <c r="C32" s="4">
        <v>0.45467298384238108</v>
      </c>
      <c r="D32" s="5">
        <v>1</v>
      </c>
      <c r="E32" s="5">
        <v>0.27972500381266707</v>
      </c>
      <c r="F32" s="5">
        <v>1</v>
      </c>
      <c r="G32" s="6">
        <v>0.52614402110812786</v>
      </c>
      <c r="H32" s="3"/>
      <c r="I32" s="3"/>
      <c r="J32" s="4" cm="1">
        <f t="array" aca="1" ref="J32:N36" ca="1">_xlfn.IFS(J31="None",  $C32:$G36*0,           J31="Horizontal Flip", INDEX($C32:$G36, _xlfn.SEQUENCE(5), 6 - _xlfn.SEQUENCE(1,5)),        J31="Vertical Flip", INDEX($C32:$G36, 6 - _xlfn.SEQUENCE(5), _xlfn.SEQUENCE(1,5)),      J31="180 Rotation", INDEX($C32:$G36, 6 - _xlfn.SEQUENCE(5), 6 - _xlfn.SEQUENCE(1,5)),        J31="90 CW", INDEX($C32:$G36, 6 - _xlfn.SEQUENCE(1,5), _xlfn.SEQUENCE(5)),          J31="90 CCW", INDEX($C32:$G36, _xlfn.SEQUENCE(1,5), 6 - _xlfn.SEQUENCE(5)),         J31="Shift Up", IF(_xlfn.SEQUENCE(5)+1&lt;=5, INDEX($C32:$G36, _xlfn.SEQUENCE(5)+1, _xlfn.SEQUENCE(1,5)), 0),         J31="Shift Down", IF(_xlfn.SEQUENCE(5)-1&gt;=1, INDEX($C32:$G36, _xlfn.SEQUENCE(5)-1, _xlfn.SEQUENCE(1,5)), 0),         J31="Shift Left",   IF(_xlfn.SEQUENCE(1,5)+1&lt;=5, INDEX($C32:$G36, _xlfn.SEQUENCE(5), _xlfn.SEQUENCE(1,5)+1),0),         J31= "Shift Right",  IF(_xlfn.SEQUENCE(1,5)-1&gt;=1, INDEX($C32:$G36, _xlfn.SEQUENCE(5), _xlfn.SEQUENCE(1,5)-1), 0),        J31="Noise",  _xlfn.MAP($C32:$G36 + (_xlfn.RANDARRAY(ROWS($C32:$G36), COLUMNS($C32:$G36)) - 0.5) * 0.4, _xlfn.LAMBDA(_xlpm.x, MAX(0, MIN(1, _xlpm.x)))))</f>
        <v>0.40699938694086901</v>
      </c>
      <c r="K32" s="5">
        <f ca="1"/>
        <v>1</v>
      </c>
      <c r="L32" s="5">
        <f ca="1"/>
        <v>0.59604971214225966</v>
      </c>
      <c r="M32" s="5">
        <f ca="1"/>
        <v>0.25134230023533777</v>
      </c>
      <c r="N32" s="6">
        <f ca="1"/>
        <v>0.36530534645204316</v>
      </c>
      <c r="O32" s="3"/>
      <c r="P32" s="3"/>
      <c r="Q32" s="4" cm="1">
        <f t="array" aca="1" ref="Q32:U36" ca="1">_xlfn.IFS(Q31="None",  $C32:$G36*0,           Q31="Horizontal Flip", INDEX($C32:$G36, _xlfn.SEQUENCE(5), 6 - _xlfn.SEQUENCE(1,5)),        Q31="Vertical Flip", INDEX($C32:$G36, 6 - _xlfn.SEQUENCE(5), _xlfn.SEQUENCE(1,5)),      Q31="180 Rotation", INDEX($C32:$G36, 6 - _xlfn.SEQUENCE(5), 6 - _xlfn.SEQUENCE(1,5)),        Q31="90 CW", INDEX($C32:$G36, 6 - _xlfn.SEQUENCE(1,5), _xlfn.SEQUENCE(5)),          Q31="90 CCW", INDEX($C32:$G36, _xlfn.SEQUENCE(1,5), 6 - _xlfn.SEQUENCE(5)),         Q31="Shift Up", IF(_xlfn.SEQUENCE(5)+1&lt;=5, INDEX($C32:$G36, _xlfn.SEQUENCE(5)+1, _xlfn.SEQUENCE(1,5)), 0),         Q31="Shift Down", IF(_xlfn.SEQUENCE(5)-1&gt;=1, INDEX($C32:$G36, _xlfn.SEQUENCE(5)-1, _xlfn.SEQUENCE(1,5)), 0),         Q31="Shift Left",   IF(_xlfn.SEQUENCE(1,5)+1&lt;=5, INDEX($C32:$G36, _xlfn.SEQUENCE(5), _xlfn.SEQUENCE(1,5)+1),0),         Q31= "Shift Right",  IF(_xlfn.SEQUENCE(1,5)-1&gt;=1, INDEX($C32:$G36, _xlfn.SEQUENCE(5), _xlfn.SEQUENCE(1,5)-1), 0),        Q31="Noise",  _xlfn.MAP($C32:$G36 + (_xlfn.RANDARRAY(ROWS($C32:$G36), COLUMNS($C32:$G36)) - 0.5) * 0.4, _xlfn.LAMBDA(_xlpm.x, MAX(0, MIN(1, _xlpm.x)))))</f>
        <v>0</v>
      </c>
      <c r="R32" s="5">
        <f ca="1"/>
        <v>0.45467298384238108</v>
      </c>
      <c r="S32" s="5">
        <f ca="1"/>
        <v>1</v>
      </c>
      <c r="T32" s="5">
        <f ca="1"/>
        <v>0.27972500381266707</v>
      </c>
      <c r="U32" s="6">
        <f ca="1"/>
        <v>1</v>
      </c>
      <c r="V32" s="3"/>
      <c r="W32" s="3"/>
      <c r="X32" s="4" cm="1">
        <f t="array" aca="1" ref="X32:AB36" ca="1">_xlfn.IFS(X31="None",  $C32:$G36*0,           X31="Horizontal Flip", INDEX($C32:$G36, _xlfn.SEQUENCE(5), 6 - _xlfn.SEQUENCE(1,5)),        X31="Vertical Flip", INDEX($C32:$G36, 6 - _xlfn.SEQUENCE(5), _xlfn.SEQUENCE(1,5)),      X31="180 Rotation", INDEX($C32:$G36, 6 - _xlfn.SEQUENCE(5), 6 - _xlfn.SEQUENCE(1,5)),        X31="90 CW", INDEX($C32:$G36, 6 - _xlfn.SEQUENCE(1,5), _xlfn.SEQUENCE(5)),          X31="90 CCW", INDEX($C32:$G36, _xlfn.SEQUENCE(1,5), 6 - _xlfn.SEQUENCE(5)),         X31="Shift Up", IF(_xlfn.SEQUENCE(5)+1&lt;=5, INDEX($C32:$G36, _xlfn.SEQUENCE(5)+1, _xlfn.SEQUENCE(1,5)), 0),         X31="Shift Down", IF(_xlfn.SEQUENCE(5)-1&gt;=1, INDEX($C32:$G36, _xlfn.SEQUENCE(5)-1, _xlfn.SEQUENCE(1,5)), 0),         X31="Shift Left",   IF(_xlfn.SEQUENCE(1,5)+1&lt;=5, INDEX($C32:$G36, _xlfn.SEQUENCE(5), _xlfn.SEQUENCE(1,5)+1),0),         X31= "Shift Right",  IF(_xlfn.SEQUENCE(1,5)-1&gt;=1, INDEX($C32:$G36, _xlfn.SEQUENCE(5), _xlfn.SEQUENCE(1,5)-1), 0),        X31="Noise",  _xlfn.MAP($C32:$G36 + (_xlfn.RANDARRAY(ROWS($C32:$G36), COLUMNS($C32:$G36)) - 0.5) * 0.4, _xlfn.LAMBDA(_xlpm.x, MAX(0, MIN(1, _xlpm.x)))))</f>
        <v>0.61460710702627142</v>
      </c>
      <c r="Y32" s="5">
        <f ca="1"/>
        <v>1</v>
      </c>
      <c r="Z32" s="5">
        <f ca="1"/>
        <v>0.22403756447098677</v>
      </c>
      <c r="AA32" s="5">
        <f ca="1"/>
        <v>1</v>
      </c>
      <c r="AB32" s="6">
        <f ca="1"/>
        <v>0.18133030005841766</v>
      </c>
      <c r="AC32" s="3"/>
      <c r="AD32" s="3"/>
      <c r="AE32" s="4" cm="1">
        <f t="array" aca="1" ref="AE32:AI36" ca="1">_xlfn.IFS(AE31="None",  $C32:$G36*0,           AE31="Horizontal Flip", INDEX($C32:$G36, _xlfn.SEQUENCE(5), 6 - _xlfn.SEQUENCE(1,5)),        AE31="Vertical Flip", INDEX($C32:$G36, 6 - _xlfn.SEQUENCE(5), _xlfn.SEQUENCE(1,5)),      AE31="180 Rotation", INDEX($C32:$G36, 6 - _xlfn.SEQUENCE(5), 6 - _xlfn.SEQUENCE(1,5)),        AE31="90 CW", INDEX($C32:$G36, 6 - _xlfn.SEQUENCE(1,5), _xlfn.SEQUENCE(5)),          AE31="90 CCW", INDEX($C32:$G36, _xlfn.SEQUENCE(1,5), 6 - _xlfn.SEQUENCE(5)),         AE31="Shift Up", IF(_xlfn.SEQUENCE(5)+1&lt;=5, INDEX($C32:$G36, _xlfn.SEQUENCE(5)+1, _xlfn.SEQUENCE(1,5)), 0),         AE31="Shift Down", IF(_xlfn.SEQUENCE(5)-1&gt;=1, INDEX($C32:$G36, _xlfn.SEQUENCE(5)-1, _xlfn.SEQUENCE(1,5)), 0),         AE31="Shift Left",   IF(_xlfn.SEQUENCE(1,5)+1&lt;=5, INDEX($C32:$G36, _xlfn.SEQUENCE(5), _xlfn.SEQUENCE(1,5)+1),0),         AE31= "Shift Right",  IF(_xlfn.SEQUENCE(1,5)-1&gt;=1, INDEX($C32:$G36, _xlfn.SEQUENCE(5), _xlfn.SEQUENCE(1,5)-1), 0),        AE31="Noise",  _xlfn.MAP($C32:$G36 + (_xlfn.RANDARRAY(ROWS($C32:$G36), COLUMNS($C32:$G36)) - 0.5) * 0.4, _xlfn.LAMBDA(_xlpm.x, MAX(0, MIN(1, _xlpm.x)))))</f>
        <v>0.36530534645204316</v>
      </c>
      <c r="AF32" s="5">
        <f ca="1"/>
        <v>0.57425315353039086</v>
      </c>
      <c r="AG32" s="5">
        <f ca="1"/>
        <v>0.21698807639740347</v>
      </c>
      <c r="AH32" s="5">
        <f ca="1"/>
        <v>0.61460710702627142</v>
      </c>
      <c r="AI32" s="6">
        <f ca="1"/>
        <v>0.45467298384238108</v>
      </c>
      <c r="AJ32" s="3"/>
      <c r="AK32" s="3"/>
      <c r="AL32" s="4" cm="1">
        <f t="array" aca="1" ref="AL32:AP36" ca="1">_xlfn.IFS(AL31="None",  $C32:$G36*0,           AL31="Horizontal Flip", INDEX($C32:$G36, _xlfn.SEQUENCE(5), 6 - _xlfn.SEQUENCE(1,5)),        AL31="Vertical Flip", INDEX($C32:$G36, 6 - _xlfn.SEQUENCE(5), _xlfn.SEQUENCE(1,5)),      AL31="180 Rotation", INDEX($C32:$G36, 6 - _xlfn.SEQUENCE(5), 6 - _xlfn.SEQUENCE(1,5)),        AL31="90 CW", INDEX($C32:$G36, 6 - _xlfn.SEQUENCE(1,5), _xlfn.SEQUENCE(5)),          AL31="90 CCW", INDEX($C32:$G36, _xlfn.SEQUENCE(1,5), 6 - _xlfn.SEQUENCE(5)),         AL31="Shift Up", IF(_xlfn.SEQUENCE(5)+1&lt;=5, INDEX($C32:$G36, _xlfn.SEQUENCE(5)+1, _xlfn.SEQUENCE(1,5)), 0),         AL31="Shift Down", IF(_xlfn.SEQUENCE(5)-1&gt;=1, INDEX($C32:$G36, _xlfn.SEQUENCE(5)-1, _xlfn.SEQUENCE(1,5)), 0),         AL31="Shift Left",   IF(_xlfn.SEQUENCE(1,5)+1&lt;=5, INDEX($C32:$G36, _xlfn.SEQUENCE(5), _xlfn.SEQUENCE(1,5)+1),0),         AL31= "Shift Right",  IF(_xlfn.SEQUENCE(1,5)-1&gt;=1, INDEX($C32:$G36, _xlfn.SEQUENCE(5), _xlfn.SEQUENCE(1,5)-1), 0),        AL31="Noise",  _xlfn.MAP($C32:$G36 + (_xlfn.RANDARRAY(ROWS($C32:$G36), COLUMNS($C32:$G36)) - 0.5) * 0.4, _xlfn.LAMBDA(_xlpm.x, MAX(0, MIN(1, _xlpm.x)))))</f>
        <v>1</v>
      </c>
      <c r="AM32" s="5">
        <f ca="1"/>
        <v>0.27972500381266707</v>
      </c>
      <c r="AN32" s="5">
        <f ca="1"/>
        <v>1</v>
      </c>
      <c r="AO32" s="5">
        <f ca="1"/>
        <v>0.52614402110812786</v>
      </c>
      <c r="AP32" s="6">
        <f ca="1"/>
        <v>0</v>
      </c>
      <c r="AQ32" s="3"/>
      <c r="AR32" s="3"/>
      <c r="AS32" s="4" cm="1">
        <f t="array" aca="1" ref="AS32:AW36" ca="1">_xlfn.IFS(AS31="None",  $C32:$G36*0,           AS31="Horizontal Flip", INDEX($C32:$G36, _xlfn.SEQUENCE(5), 6 - _xlfn.SEQUENCE(1,5)),        AS31="Vertical Flip", INDEX($C32:$G36, 6 - _xlfn.SEQUENCE(5), _xlfn.SEQUENCE(1,5)),      AS31="180 Rotation", INDEX($C32:$G36, 6 - _xlfn.SEQUENCE(5), 6 - _xlfn.SEQUENCE(1,5)),        AS31="90 CW", INDEX($C32:$G36, 6 - _xlfn.SEQUENCE(1,5), _xlfn.SEQUENCE(5)),          AS31="90 CCW", INDEX($C32:$G36, _xlfn.SEQUENCE(1,5), 6 - _xlfn.SEQUENCE(5)),         AS31="Shift Up", IF(_xlfn.SEQUENCE(5)+1&lt;=5, INDEX($C32:$G36, _xlfn.SEQUENCE(5)+1, _xlfn.SEQUENCE(1,5)), 0),         AS31="Shift Down", IF(_xlfn.SEQUENCE(5)-1&gt;=1, INDEX($C32:$G36, _xlfn.SEQUENCE(5)-1, _xlfn.SEQUENCE(1,5)), 0),         AS31="Shift Left",   IF(_xlfn.SEQUENCE(1,5)+1&lt;=5, INDEX($C32:$G36, _xlfn.SEQUENCE(5), _xlfn.SEQUENCE(1,5)+1),0),         AS31= "Shift Right",  IF(_xlfn.SEQUENCE(1,5)-1&gt;=1, INDEX($C32:$G36, _xlfn.SEQUENCE(5), _xlfn.SEQUENCE(1,5)-1), 0),        AS31="Noise",  _xlfn.MAP($C32:$G36 + (_xlfn.RANDARRAY(ROWS($C32:$G36), COLUMNS($C32:$G36)) - 0.5) * 0.4, _xlfn.LAMBDA(_xlpm.x, MAX(0, MIN(1, _xlpm.x)))))</f>
        <v>0.36530534645204316</v>
      </c>
      <c r="AT32" s="5">
        <f ca="1"/>
        <v>0.25134230023533777</v>
      </c>
      <c r="AU32" s="5">
        <f ca="1"/>
        <v>0.59604971214225966</v>
      </c>
      <c r="AV32" s="5">
        <f ca="1"/>
        <v>1</v>
      </c>
      <c r="AW32" s="6">
        <f ca="1"/>
        <v>0.40699938694086901</v>
      </c>
      <c r="AX32" s="3"/>
      <c r="AY32" s="3"/>
      <c r="AZ32" s="4" cm="1">
        <f t="array" aca="1" ref="AZ32:BD36" ca="1">_xlfn.IFS(AZ31="None",  $C32:$G36*0,           AZ31="Horizontal Flip", INDEX($C32:$G36, _xlfn.SEQUENCE(5), 6 - _xlfn.SEQUENCE(1,5)),        AZ31="Vertical Flip", INDEX($C32:$G36, 6 - _xlfn.SEQUENCE(5), _xlfn.SEQUENCE(1,5)),      AZ31="180 Rotation", INDEX($C32:$G36, 6 - _xlfn.SEQUENCE(5), 6 - _xlfn.SEQUENCE(1,5)),        AZ31="90 CW", INDEX($C32:$G36, 6 - _xlfn.SEQUENCE(1,5), _xlfn.SEQUENCE(5)),          AZ31="90 CCW", INDEX($C32:$G36, _xlfn.SEQUENCE(1,5), 6 - _xlfn.SEQUENCE(5)),         AZ31="Shift Up", IF(_xlfn.SEQUENCE(5)+1&lt;=5, INDEX($C32:$G36, _xlfn.SEQUENCE(5)+1, _xlfn.SEQUENCE(1,5)), 0),         AZ31="Shift Down", IF(_xlfn.SEQUENCE(5)-1&gt;=1, INDEX($C32:$G36, _xlfn.SEQUENCE(5)-1, _xlfn.SEQUENCE(1,5)), 0),         AZ31="Shift Left",   IF(_xlfn.SEQUENCE(1,5)+1&lt;=5, INDEX($C32:$G36, _xlfn.SEQUENCE(5), _xlfn.SEQUENCE(1,5)+1),0),         AZ31= "Shift Right",  IF(_xlfn.SEQUENCE(1,5)-1&gt;=1, INDEX($C32:$G36, _xlfn.SEQUENCE(5), _xlfn.SEQUENCE(1,5)-1), 0),        AZ31="Noise",  _xlfn.MAP($C32:$G36 + (_xlfn.RANDARRAY(ROWS($C32:$G36), COLUMNS($C32:$G36)) - 0.5) * 0.4, _xlfn.LAMBDA(_xlpm.x, MAX(0, MIN(1, _xlpm.x)))))</f>
        <v>0.52614402110812786</v>
      </c>
      <c r="BA32" s="5">
        <f ca="1"/>
        <v>0.18133030005841766</v>
      </c>
      <c r="BB32" s="5">
        <f ca="1"/>
        <v>0.62662209670203484</v>
      </c>
      <c r="BC32" s="5">
        <f ca="1"/>
        <v>0.28950803813331716</v>
      </c>
      <c r="BD32" s="6">
        <f ca="1"/>
        <v>0.40699938694086901</v>
      </c>
      <c r="BE32" s="3"/>
      <c r="BG32" s="4" cm="1">
        <f t="array" aca="1" ref="BG32:BK36" ca="1">_xlfn.IFS(BG31="None",  $C32:$G36*0,           BG31="Horizontal Flip", INDEX($C32:$G36, _xlfn.SEQUENCE(5), 6 - _xlfn.SEQUENCE(1,5)),        BG31="Vertical Flip", INDEX($C32:$G36, 6 - _xlfn.SEQUENCE(5), _xlfn.SEQUENCE(1,5)),      BG31="180 Rotation", INDEX($C32:$G36, 6 - _xlfn.SEQUENCE(5), 6 - _xlfn.SEQUENCE(1,5)),        BG31="90 CW", INDEX($C32:$G36, 6 - _xlfn.SEQUENCE(1,5), _xlfn.SEQUENCE(5)),          BG31="90 CCW", INDEX($C32:$G36, _xlfn.SEQUENCE(1,5), 6 - _xlfn.SEQUENCE(5)),         BG31="Shift Up", IF(_xlfn.SEQUENCE(5)+1&lt;=5, INDEX($C32:$G36, _xlfn.SEQUENCE(5)+1, _xlfn.SEQUENCE(1,5)), 0),         BG31="Shift Down", IF(_xlfn.SEQUENCE(5)-1&gt;=1, INDEX($C32:$G36, _xlfn.SEQUENCE(5)-1, _xlfn.SEQUENCE(1,5)), 0),         BG31="Shift Left",   IF(_xlfn.SEQUENCE(1,5)+1&lt;=5, INDEX($C32:$G36, _xlfn.SEQUENCE(5), _xlfn.SEQUENCE(1,5)+1),0),         BG31= "Shift Right",  IF(_xlfn.SEQUENCE(1,5)-1&gt;=1, INDEX($C32:$G36, _xlfn.SEQUENCE(5), _xlfn.SEQUENCE(1,5)-1), 0),        BG31="Noise",  _xlfn.MAP($C32:$G36 + (_xlfn.RANDARRAY(ROWS($C32:$G36), COLUMNS($C32:$G36)) - 0.5) * 0.4, _xlfn.LAMBDA(_xlpm.x, MAX(0, MIN(1, _xlpm.x)))))</f>
        <v>0.52614402110812786</v>
      </c>
      <c r="BH32" s="5">
        <f ca="1"/>
        <v>1</v>
      </c>
      <c r="BI32" s="5">
        <f ca="1"/>
        <v>0.27972500381266707</v>
      </c>
      <c r="BJ32" s="5">
        <f ca="1"/>
        <v>1</v>
      </c>
      <c r="BK32" s="6">
        <f ca="1"/>
        <v>0.45467298384238108</v>
      </c>
      <c r="BL32" s="3"/>
      <c r="BM32" s="3"/>
      <c r="BN32" s="4" cm="1">
        <f t="array" aca="1" ref="BN32:BR36" ca="1">_xlfn.IFS(BN31="None",  $C32:$G36*0,           BN31="Horizontal Flip", INDEX($C32:$G36, _xlfn.SEQUENCE(5), 6 - _xlfn.SEQUENCE(1,5)),        BN31="Vertical Flip", INDEX($C32:$G36, 6 - _xlfn.SEQUENCE(5), _xlfn.SEQUENCE(1,5)),      BN31="180 Rotation", INDEX($C32:$G36, 6 - _xlfn.SEQUENCE(5), 6 - _xlfn.SEQUENCE(1,5)),        BN31="90 CW", INDEX($C32:$G36, 6 - _xlfn.SEQUENCE(1,5), _xlfn.SEQUENCE(5)),          BN31="90 CCW", INDEX($C32:$G36, _xlfn.SEQUENCE(1,5), 6 - _xlfn.SEQUENCE(5)),         BN31="Shift Up", IF(_xlfn.SEQUENCE(5)+1&lt;=5, INDEX($C32:$G36, _xlfn.SEQUENCE(5)+1, _xlfn.SEQUENCE(1,5)), 0),         BN31="Shift Down", IF(_xlfn.SEQUENCE(5)-1&gt;=1, INDEX($C32:$G36, _xlfn.SEQUENCE(5)-1, _xlfn.SEQUENCE(1,5)), 0),         BN31="Shift Left",   IF(_xlfn.SEQUENCE(1,5)+1&lt;=5, INDEX($C32:$G36, _xlfn.SEQUENCE(5), _xlfn.SEQUENCE(1,5)+1),0),         BN31= "Shift Right",  IF(_xlfn.SEQUENCE(1,5)-1&gt;=1, INDEX($C32:$G36, _xlfn.SEQUENCE(5), _xlfn.SEQUENCE(1,5)-1), 0),        BN31="Noise",  _xlfn.MAP($C32:$G36 + (_xlfn.RANDARRAY(ROWS($C32:$G36), COLUMNS($C32:$G36)) - 0.5) * 0.4, _xlfn.LAMBDA(_xlpm.x, MAX(0, MIN(1, _xlpm.x)))))</f>
        <v>0</v>
      </c>
      <c r="BO32" s="5">
        <f ca="1"/>
        <v>0</v>
      </c>
      <c r="BP32" s="5">
        <f ca="1"/>
        <v>0</v>
      </c>
      <c r="BQ32" s="5">
        <f ca="1"/>
        <v>0</v>
      </c>
      <c r="BR32" s="6">
        <f ca="1"/>
        <v>0</v>
      </c>
      <c r="BS32" s="3"/>
      <c r="BU32" s="4" cm="1">
        <f t="array" aca="1" ref="BU32:BY36" ca="1">_xlfn.IFS(BU31="None",  $C32:$G36*0,           BU31="Horizontal Flip", INDEX($C32:$G36, _xlfn.SEQUENCE(5), 6 - _xlfn.SEQUENCE(1,5)),        BU31="Vertical Flip", INDEX($C32:$G36, 6 - _xlfn.SEQUENCE(5), _xlfn.SEQUENCE(1,5)),      BU31="180 Rotation", INDEX($C32:$G36, 6 - _xlfn.SEQUENCE(5), 6 - _xlfn.SEQUENCE(1,5)),        BU31="90 CW", INDEX($C32:$G36, 6 - _xlfn.SEQUENCE(1,5), _xlfn.SEQUENCE(5)),          BU31="90 CCW", INDEX($C32:$G36, _xlfn.SEQUENCE(1,5), 6 - _xlfn.SEQUENCE(5)),         BU31="Shift Up", IF(_xlfn.SEQUENCE(5)+1&lt;=5, INDEX($C32:$G36, _xlfn.SEQUENCE(5)+1, _xlfn.SEQUENCE(1,5)), 0),         BU31="Shift Down", IF(_xlfn.SEQUENCE(5)-1&gt;=1, INDEX($C32:$G36, _xlfn.SEQUENCE(5)-1, _xlfn.SEQUENCE(1,5)), 0),         BU31="Shift Left",   IF(_xlfn.SEQUENCE(1,5)+1&lt;=5, INDEX($C32:$G36, _xlfn.SEQUENCE(5), _xlfn.SEQUENCE(1,5)+1),0),         BU31= "Shift Right",  IF(_xlfn.SEQUENCE(1,5)-1&gt;=1, INDEX($C32:$G36, _xlfn.SEQUENCE(5), _xlfn.SEQUENCE(1,5)-1), 0),        BU31="Noise",  _xlfn.MAP($C32:$G36 + (_xlfn.RANDARRAY(ROWS($C32:$G36), COLUMNS($C32:$G36)) - 0.5) * 0.4, _xlfn.LAMBDA(_xlpm.x, MAX(0, MIN(1, _xlpm.x)))))</f>
        <v>0.65197618014107273</v>
      </c>
      <c r="BV32" s="5">
        <f ca="1"/>
        <v>1</v>
      </c>
      <c r="BW32" s="5">
        <f ca="1"/>
        <v>0.44755416342126697</v>
      </c>
      <c r="BX32" s="5">
        <f ca="1"/>
        <v>1</v>
      </c>
      <c r="BY32" s="6">
        <f ca="1"/>
        <v>0.43845980737722712</v>
      </c>
      <c r="CA32" s="29"/>
    </row>
    <row r="33" spans="1:79" s="1" customFormat="1" ht="18" customHeight="1" x14ac:dyDescent="0.2">
      <c r="A33" s="7"/>
      <c r="B33" s="99"/>
      <c r="C33" s="7">
        <v>0.61460710702627142</v>
      </c>
      <c r="D33" s="3">
        <v>1</v>
      </c>
      <c r="E33" s="3">
        <v>0.22403756447098677</v>
      </c>
      <c r="F33" s="3">
        <v>1</v>
      </c>
      <c r="G33" s="8">
        <v>0.18133030005841766</v>
      </c>
      <c r="H33" s="3"/>
      <c r="I33" s="3"/>
      <c r="J33" s="7">
        <f ca="1"/>
        <v>0.28950803813331716</v>
      </c>
      <c r="K33" s="3">
        <f ca="1"/>
        <v>1</v>
      </c>
      <c r="L33" s="3">
        <f ca="1"/>
        <v>0.24681594674429086</v>
      </c>
      <c r="M33" s="3">
        <f ca="1"/>
        <v>0.63872802605315626</v>
      </c>
      <c r="N33" s="8">
        <f ca="1"/>
        <v>0.57425315353039086</v>
      </c>
      <c r="O33" s="3"/>
      <c r="P33" s="3"/>
      <c r="Q33" s="7">
        <f ca="1"/>
        <v>0</v>
      </c>
      <c r="R33" s="3">
        <f ca="1"/>
        <v>0.61460710702627142</v>
      </c>
      <c r="S33" s="3">
        <f ca="1"/>
        <v>1</v>
      </c>
      <c r="T33" s="3">
        <f ca="1"/>
        <v>0.22403756447098677</v>
      </c>
      <c r="U33" s="8">
        <f ca="1"/>
        <v>1</v>
      </c>
      <c r="V33" s="3"/>
      <c r="W33" s="3"/>
      <c r="X33" s="7">
        <f ca="1"/>
        <v>0.21698807639740347</v>
      </c>
      <c r="Y33" s="3">
        <f ca="1"/>
        <v>1</v>
      </c>
      <c r="Z33" s="3">
        <f ca="1"/>
        <v>1</v>
      </c>
      <c r="AA33" s="3">
        <f ca="1"/>
        <v>1</v>
      </c>
      <c r="AB33" s="8">
        <f ca="1"/>
        <v>0.62662209670203484</v>
      </c>
      <c r="AC33" s="3"/>
      <c r="AD33" s="3"/>
      <c r="AE33" s="7">
        <f ca="1"/>
        <v>0.25134230023533777</v>
      </c>
      <c r="AF33" s="3">
        <f ca="1"/>
        <v>0.63872802605315626</v>
      </c>
      <c r="AG33" s="3">
        <f ca="1"/>
        <v>1</v>
      </c>
      <c r="AH33" s="3">
        <f ca="1"/>
        <v>1</v>
      </c>
      <c r="AI33" s="8">
        <f ca="1"/>
        <v>1</v>
      </c>
      <c r="AJ33" s="3"/>
      <c r="AK33" s="3"/>
      <c r="AL33" s="7">
        <f ca="1"/>
        <v>1</v>
      </c>
      <c r="AM33" s="3">
        <f ca="1"/>
        <v>0.22403756447098677</v>
      </c>
      <c r="AN33" s="3">
        <f ca="1"/>
        <v>1</v>
      </c>
      <c r="AO33" s="3">
        <f ca="1"/>
        <v>0.18133030005841766</v>
      </c>
      <c r="AP33" s="8">
        <f ca="1"/>
        <v>0</v>
      </c>
      <c r="AQ33" s="3"/>
      <c r="AR33" s="3"/>
      <c r="AS33" s="7">
        <f ca="1"/>
        <v>0.57425315353039086</v>
      </c>
      <c r="AT33" s="3">
        <f ca="1"/>
        <v>0.63872802605315626</v>
      </c>
      <c r="AU33" s="3">
        <f ca="1"/>
        <v>0.24681594674429086</v>
      </c>
      <c r="AV33" s="3">
        <f ca="1"/>
        <v>1</v>
      </c>
      <c r="AW33" s="8">
        <f ca="1"/>
        <v>0.28950803813331716</v>
      </c>
      <c r="AX33" s="3"/>
      <c r="AY33" s="3"/>
      <c r="AZ33" s="7">
        <f ca="1"/>
        <v>1</v>
      </c>
      <c r="BA33" s="3">
        <f ca="1"/>
        <v>1</v>
      </c>
      <c r="BB33" s="3">
        <f ca="1"/>
        <v>1</v>
      </c>
      <c r="BC33" s="3">
        <f ca="1"/>
        <v>1</v>
      </c>
      <c r="BD33" s="8">
        <f ca="1"/>
        <v>1</v>
      </c>
      <c r="BE33" s="3"/>
      <c r="BG33" s="7">
        <f ca="1"/>
        <v>0.18133030005841766</v>
      </c>
      <c r="BH33" s="3">
        <f ca="1"/>
        <v>1</v>
      </c>
      <c r="BI33" s="3">
        <f ca="1"/>
        <v>0.22403756447098677</v>
      </c>
      <c r="BJ33" s="3">
        <f ca="1"/>
        <v>1</v>
      </c>
      <c r="BK33" s="8">
        <f ca="1"/>
        <v>0.61460710702627142</v>
      </c>
      <c r="BL33" s="3"/>
      <c r="BM33" s="3"/>
      <c r="BN33" s="7">
        <f ca="1"/>
        <v>0.45467298384238108</v>
      </c>
      <c r="BO33" s="3">
        <f ca="1"/>
        <v>1</v>
      </c>
      <c r="BP33" s="3">
        <f ca="1"/>
        <v>0.27972500381266707</v>
      </c>
      <c r="BQ33" s="3">
        <f ca="1"/>
        <v>1</v>
      </c>
      <c r="BR33" s="8">
        <f ca="1"/>
        <v>0.52614402110812786</v>
      </c>
      <c r="BS33" s="3"/>
      <c r="BU33" s="7">
        <f ca="1"/>
        <v>0.4193513461401126</v>
      </c>
      <c r="BV33" s="3">
        <f ca="1"/>
        <v>0.85823402691453621</v>
      </c>
      <c r="BW33" s="3">
        <f ca="1"/>
        <v>0.29882076684008402</v>
      </c>
      <c r="BX33" s="3">
        <f ca="1"/>
        <v>0.96258229984771959</v>
      </c>
      <c r="BY33" s="8">
        <f ca="1"/>
        <v>0.16762010013257314</v>
      </c>
      <c r="CA33" s="29"/>
    </row>
    <row r="34" spans="1:79" s="1" customFormat="1" ht="18" customHeight="1" x14ac:dyDescent="0.2">
      <c r="A34" s="7"/>
      <c r="B34" s="99"/>
      <c r="C34" s="7">
        <v>0.21698807639740347</v>
      </c>
      <c r="D34" s="3">
        <v>1</v>
      </c>
      <c r="E34" s="3">
        <v>1</v>
      </c>
      <c r="F34" s="3">
        <v>1</v>
      </c>
      <c r="G34" s="8">
        <v>0.62662209670203484</v>
      </c>
      <c r="H34" s="3"/>
      <c r="I34" s="3"/>
      <c r="J34" s="7">
        <f ca="1"/>
        <v>0.62662209670203484</v>
      </c>
      <c r="K34" s="3">
        <f ca="1"/>
        <v>1</v>
      </c>
      <c r="L34" s="3">
        <f ca="1"/>
        <v>1</v>
      </c>
      <c r="M34" s="3">
        <f ca="1"/>
        <v>1</v>
      </c>
      <c r="N34" s="8">
        <f ca="1"/>
        <v>0.21698807639740347</v>
      </c>
      <c r="O34" s="3"/>
      <c r="P34" s="3"/>
      <c r="Q34" s="7">
        <f ca="1"/>
        <v>0</v>
      </c>
      <c r="R34" s="3">
        <f ca="1"/>
        <v>0.21698807639740347</v>
      </c>
      <c r="S34" s="3">
        <f ca="1"/>
        <v>1</v>
      </c>
      <c r="T34" s="3">
        <f ca="1"/>
        <v>1</v>
      </c>
      <c r="U34" s="8">
        <f ca="1"/>
        <v>1</v>
      </c>
      <c r="V34" s="3"/>
      <c r="W34" s="3"/>
      <c r="X34" s="7">
        <f ca="1"/>
        <v>0.57425315353039086</v>
      </c>
      <c r="Y34" s="3">
        <f ca="1"/>
        <v>0.63872802605315626</v>
      </c>
      <c r="Z34" s="3">
        <f ca="1"/>
        <v>0.24681594674429086</v>
      </c>
      <c r="AA34" s="3">
        <f ca="1"/>
        <v>1</v>
      </c>
      <c r="AB34" s="8">
        <f ca="1"/>
        <v>0.28950803813331716</v>
      </c>
      <c r="AC34" s="3"/>
      <c r="AD34" s="3"/>
      <c r="AE34" s="7">
        <f ca="1"/>
        <v>0.59604971214225966</v>
      </c>
      <c r="AF34" s="3">
        <f ca="1"/>
        <v>0.24681594674429086</v>
      </c>
      <c r="AG34" s="3">
        <f ca="1"/>
        <v>1</v>
      </c>
      <c r="AH34" s="3">
        <f ca="1"/>
        <v>0.22403756447098677</v>
      </c>
      <c r="AI34" s="8">
        <f ca="1"/>
        <v>0.27972500381266707</v>
      </c>
      <c r="AJ34" s="3"/>
      <c r="AK34" s="3"/>
      <c r="AL34" s="7">
        <f ca="1"/>
        <v>1</v>
      </c>
      <c r="AM34" s="3">
        <f ca="1"/>
        <v>1</v>
      </c>
      <c r="AN34" s="3">
        <f ca="1"/>
        <v>1</v>
      </c>
      <c r="AO34" s="3">
        <f ca="1"/>
        <v>0.62662209670203484</v>
      </c>
      <c r="AP34" s="8">
        <f ca="1"/>
        <v>0</v>
      </c>
      <c r="AQ34" s="3"/>
      <c r="AR34" s="3"/>
      <c r="AS34" s="7">
        <f ca="1"/>
        <v>0.21698807639740347</v>
      </c>
      <c r="AT34" s="3">
        <f ca="1"/>
        <v>1</v>
      </c>
      <c r="AU34" s="3">
        <f ca="1"/>
        <v>1</v>
      </c>
      <c r="AV34" s="3">
        <f ca="1"/>
        <v>1</v>
      </c>
      <c r="AW34" s="8">
        <f ca="1"/>
        <v>0.62662209670203484</v>
      </c>
      <c r="AX34" s="3"/>
      <c r="AY34" s="3"/>
      <c r="AZ34" s="7">
        <f ca="1"/>
        <v>0.27972500381266707</v>
      </c>
      <c r="BA34" s="3">
        <f ca="1"/>
        <v>0.22403756447098677</v>
      </c>
      <c r="BB34" s="3">
        <f ca="1"/>
        <v>1</v>
      </c>
      <c r="BC34" s="3">
        <f ca="1"/>
        <v>0.24681594674429086</v>
      </c>
      <c r="BD34" s="8">
        <f ca="1"/>
        <v>0.59604971214225966</v>
      </c>
      <c r="BE34" s="3"/>
      <c r="BG34" s="7">
        <f ca="1"/>
        <v>0.62662209670203484</v>
      </c>
      <c r="BH34" s="3">
        <f ca="1"/>
        <v>1</v>
      </c>
      <c r="BI34" s="3">
        <f ca="1"/>
        <v>1</v>
      </c>
      <c r="BJ34" s="3">
        <f ca="1"/>
        <v>1</v>
      </c>
      <c r="BK34" s="8">
        <f ca="1"/>
        <v>0.21698807639740347</v>
      </c>
      <c r="BL34" s="3"/>
      <c r="BM34" s="3"/>
      <c r="BN34" s="7">
        <f ca="1"/>
        <v>0.61460710702627142</v>
      </c>
      <c r="BO34" s="3">
        <f ca="1"/>
        <v>1</v>
      </c>
      <c r="BP34" s="3">
        <f ca="1"/>
        <v>0.22403756447098677</v>
      </c>
      <c r="BQ34" s="3">
        <f ca="1"/>
        <v>1</v>
      </c>
      <c r="BR34" s="8">
        <f ca="1"/>
        <v>0.18133030005841766</v>
      </c>
      <c r="BS34" s="3"/>
      <c r="BU34" s="7">
        <f ca="1"/>
        <v>0.22252063101204986</v>
      </c>
      <c r="BV34" s="3">
        <f ca="1"/>
        <v>0.98079071944096829</v>
      </c>
      <c r="BW34" s="3">
        <f ca="1"/>
        <v>1</v>
      </c>
      <c r="BX34" s="3">
        <f ca="1"/>
        <v>1</v>
      </c>
      <c r="BY34" s="8">
        <f ca="1"/>
        <v>0.58930641029817332</v>
      </c>
      <c r="CA34" s="29"/>
    </row>
    <row r="35" spans="1:79" s="1" customFormat="1" ht="18" customHeight="1" x14ac:dyDescent="0.2">
      <c r="A35" s="7"/>
      <c r="B35" s="99"/>
      <c r="C35" s="7">
        <v>0.57425315353039086</v>
      </c>
      <c r="D35" s="3">
        <v>0.63872802605315626</v>
      </c>
      <c r="E35" s="3">
        <v>0.24681594674429086</v>
      </c>
      <c r="F35" s="3">
        <v>1</v>
      </c>
      <c r="G35" s="8">
        <v>0.28950803813331716</v>
      </c>
      <c r="H35" s="3"/>
      <c r="I35" s="3"/>
      <c r="J35" s="7">
        <f ca="1"/>
        <v>0.18133030005841766</v>
      </c>
      <c r="K35" s="3">
        <f ca="1"/>
        <v>1</v>
      </c>
      <c r="L35" s="3">
        <f ca="1"/>
        <v>0.22403756447098677</v>
      </c>
      <c r="M35" s="3">
        <f ca="1"/>
        <v>1</v>
      </c>
      <c r="N35" s="8">
        <f ca="1"/>
        <v>0.61460710702627142</v>
      </c>
      <c r="O35" s="3"/>
      <c r="P35" s="3"/>
      <c r="Q35" s="7">
        <f ca="1"/>
        <v>0</v>
      </c>
      <c r="R35" s="3">
        <f ca="1"/>
        <v>0.57425315353039086</v>
      </c>
      <c r="S35" s="3">
        <f ca="1"/>
        <v>0.63872802605315626</v>
      </c>
      <c r="T35" s="3">
        <f ca="1"/>
        <v>0.24681594674429086</v>
      </c>
      <c r="U35" s="8">
        <f ca="1"/>
        <v>1</v>
      </c>
      <c r="V35" s="3"/>
      <c r="W35" s="3"/>
      <c r="X35" s="7">
        <f ca="1"/>
        <v>0.36530534645204316</v>
      </c>
      <c r="Y35" s="3">
        <f ca="1"/>
        <v>0.25134230023533777</v>
      </c>
      <c r="Z35" s="3">
        <f ca="1"/>
        <v>0.59604971214225966</v>
      </c>
      <c r="AA35" s="3">
        <f ca="1"/>
        <v>1</v>
      </c>
      <c r="AB35" s="8">
        <f ca="1"/>
        <v>0.40699938694086901</v>
      </c>
      <c r="AC35" s="3"/>
      <c r="AD35" s="3"/>
      <c r="AE35" s="7">
        <f ca="1"/>
        <v>1</v>
      </c>
      <c r="AF35" s="3">
        <f ca="1"/>
        <v>1</v>
      </c>
      <c r="AG35" s="3">
        <f ca="1"/>
        <v>1</v>
      </c>
      <c r="AH35" s="3">
        <f ca="1"/>
        <v>1</v>
      </c>
      <c r="AI35" s="8">
        <f ca="1"/>
        <v>1</v>
      </c>
      <c r="AJ35" s="3"/>
      <c r="AK35" s="3"/>
      <c r="AL35" s="7">
        <f ca="1"/>
        <v>0.63872802605315626</v>
      </c>
      <c r="AM35" s="3">
        <f ca="1"/>
        <v>0.24681594674429086</v>
      </c>
      <c r="AN35" s="3">
        <f ca="1"/>
        <v>1</v>
      </c>
      <c r="AO35" s="3">
        <f ca="1"/>
        <v>0.28950803813331716</v>
      </c>
      <c r="AP35" s="8">
        <f ca="1"/>
        <v>0</v>
      </c>
      <c r="AQ35" s="3"/>
      <c r="AR35" s="3"/>
      <c r="AS35" s="7">
        <f ca="1"/>
        <v>0.61460710702627142</v>
      </c>
      <c r="AT35" s="3">
        <f ca="1"/>
        <v>1</v>
      </c>
      <c r="AU35" s="3">
        <f ca="1"/>
        <v>0.22403756447098677</v>
      </c>
      <c r="AV35" s="3">
        <f ca="1"/>
        <v>1</v>
      </c>
      <c r="AW35" s="8">
        <f ca="1"/>
        <v>0.18133030005841766</v>
      </c>
      <c r="AX35" s="3"/>
      <c r="AY35" s="3"/>
      <c r="AZ35" s="7">
        <f ca="1"/>
        <v>1</v>
      </c>
      <c r="BA35" s="3">
        <f ca="1"/>
        <v>1</v>
      </c>
      <c r="BB35" s="3">
        <f ca="1"/>
        <v>1</v>
      </c>
      <c r="BC35" s="3">
        <f ca="1"/>
        <v>0.63872802605315626</v>
      </c>
      <c r="BD35" s="8">
        <f ca="1"/>
        <v>0.25134230023533777</v>
      </c>
      <c r="BE35" s="3"/>
      <c r="BG35" s="7">
        <f ca="1"/>
        <v>0.28950803813331716</v>
      </c>
      <c r="BH35" s="3">
        <f ca="1"/>
        <v>1</v>
      </c>
      <c r="BI35" s="3">
        <f ca="1"/>
        <v>0.24681594674429086</v>
      </c>
      <c r="BJ35" s="3">
        <f ca="1"/>
        <v>0.63872802605315626</v>
      </c>
      <c r="BK35" s="8">
        <f ca="1"/>
        <v>0.57425315353039086</v>
      </c>
      <c r="BL35" s="3"/>
      <c r="BM35" s="3"/>
      <c r="BN35" s="7">
        <f ca="1"/>
        <v>0.21698807639740347</v>
      </c>
      <c r="BO35" s="3">
        <f ca="1"/>
        <v>1</v>
      </c>
      <c r="BP35" s="3">
        <f ca="1"/>
        <v>1</v>
      </c>
      <c r="BQ35" s="3">
        <f ca="1"/>
        <v>1</v>
      </c>
      <c r="BR35" s="8">
        <f ca="1"/>
        <v>0.62662209670203484</v>
      </c>
      <c r="BS35" s="3"/>
      <c r="BU35" s="7">
        <f ca="1"/>
        <v>0.39585939800935932</v>
      </c>
      <c r="BV35" s="3">
        <f ca="1"/>
        <v>0.66645357520259152</v>
      </c>
      <c r="BW35" s="3">
        <f ca="1"/>
        <v>0.26606884652174445</v>
      </c>
      <c r="BX35" s="3">
        <f ca="1"/>
        <v>1</v>
      </c>
      <c r="BY35" s="8">
        <f ca="1"/>
        <v>0.10014962876895553</v>
      </c>
      <c r="CA35" s="29"/>
    </row>
    <row r="36" spans="1:79" s="1" customFormat="1" ht="18" customHeight="1" thickBot="1" x14ac:dyDescent="0.25">
      <c r="A36" s="7"/>
      <c r="B36" s="99"/>
      <c r="C36" s="9">
        <v>0.36530534645204316</v>
      </c>
      <c r="D36" s="10">
        <v>0.25134230023533777</v>
      </c>
      <c r="E36" s="10">
        <v>0.59604971214225966</v>
      </c>
      <c r="F36" s="10">
        <v>1</v>
      </c>
      <c r="G36" s="11">
        <v>0.40699938694086901</v>
      </c>
      <c r="H36" s="3"/>
      <c r="I36" s="3"/>
      <c r="J36" s="9">
        <f ca="1"/>
        <v>0.52614402110812786</v>
      </c>
      <c r="K36" s="10">
        <f ca="1"/>
        <v>1</v>
      </c>
      <c r="L36" s="10">
        <f ca="1"/>
        <v>0.27972500381266707</v>
      </c>
      <c r="M36" s="10">
        <f ca="1"/>
        <v>1</v>
      </c>
      <c r="N36" s="11">
        <f ca="1"/>
        <v>0.45467298384238108</v>
      </c>
      <c r="O36" s="3"/>
      <c r="P36" s="3"/>
      <c r="Q36" s="9">
        <f ca="1"/>
        <v>0</v>
      </c>
      <c r="R36" s="10">
        <f ca="1"/>
        <v>0.36530534645204316</v>
      </c>
      <c r="S36" s="10">
        <f ca="1"/>
        <v>0.25134230023533777</v>
      </c>
      <c r="T36" s="10">
        <f ca="1"/>
        <v>0.59604971214225966</v>
      </c>
      <c r="U36" s="11">
        <f ca="1"/>
        <v>1</v>
      </c>
      <c r="V36" s="3"/>
      <c r="W36" s="3"/>
      <c r="X36" s="9">
        <f ca="1"/>
        <v>0</v>
      </c>
      <c r="Y36" s="10">
        <f ca="1"/>
        <v>0</v>
      </c>
      <c r="Z36" s="10">
        <f ca="1"/>
        <v>0</v>
      </c>
      <c r="AA36" s="10">
        <f ca="1"/>
        <v>0</v>
      </c>
      <c r="AB36" s="11">
        <f ca="1"/>
        <v>0</v>
      </c>
      <c r="AC36" s="3"/>
      <c r="AD36" s="3"/>
      <c r="AE36" s="9">
        <f ca="1"/>
        <v>0.40699938694086901</v>
      </c>
      <c r="AF36" s="10">
        <f ca="1"/>
        <v>0.28950803813331716</v>
      </c>
      <c r="AG36" s="10">
        <f ca="1"/>
        <v>0.62662209670203484</v>
      </c>
      <c r="AH36" s="10">
        <f ca="1"/>
        <v>0.18133030005841766</v>
      </c>
      <c r="AI36" s="11">
        <f ca="1"/>
        <v>0.52614402110812786</v>
      </c>
      <c r="AJ36" s="3"/>
      <c r="AK36" s="3"/>
      <c r="AL36" s="9">
        <f ca="1"/>
        <v>0.25134230023533777</v>
      </c>
      <c r="AM36" s="10">
        <f ca="1"/>
        <v>0.59604971214225966</v>
      </c>
      <c r="AN36" s="10">
        <f ca="1"/>
        <v>1</v>
      </c>
      <c r="AO36" s="10">
        <f ca="1"/>
        <v>0.40699938694086901</v>
      </c>
      <c r="AP36" s="11">
        <f ca="1"/>
        <v>0</v>
      </c>
      <c r="AQ36" s="3"/>
      <c r="AR36" s="3"/>
      <c r="AS36" s="9">
        <f ca="1"/>
        <v>0.45467298384238108</v>
      </c>
      <c r="AT36" s="10">
        <f ca="1"/>
        <v>1</v>
      </c>
      <c r="AU36" s="10">
        <f ca="1"/>
        <v>0.27972500381266707</v>
      </c>
      <c r="AV36" s="10">
        <f ca="1"/>
        <v>1</v>
      </c>
      <c r="AW36" s="11">
        <f ca="1"/>
        <v>0.52614402110812786</v>
      </c>
      <c r="AX36" s="3"/>
      <c r="AY36" s="3"/>
      <c r="AZ36" s="9">
        <f ca="1"/>
        <v>0.45467298384238108</v>
      </c>
      <c r="BA36" s="10">
        <f ca="1"/>
        <v>0.61460710702627142</v>
      </c>
      <c r="BB36" s="10">
        <f ca="1"/>
        <v>0.21698807639740347</v>
      </c>
      <c r="BC36" s="10">
        <f ca="1"/>
        <v>0.57425315353039086</v>
      </c>
      <c r="BD36" s="11">
        <f ca="1"/>
        <v>0.36530534645204316</v>
      </c>
      <c r="BE36" s="3"/>
      <c r="BG36" s="9">
        <f ca="1"/>
        <v>0.40699938694086901</v>
      </c>
      <c r="BH36" s="10">
        <f ca="1"/>
        <v>1</v>
      </c>
      <c r="BI36" s="10">
        <f ca="1"/>
        <v>0.59604971214225966</v>
      </c>
      <c r="BJ36" s="10">
        <f ca="1"/>
        <v>0.25134230023533777</v>
      </c>
      <c r="BK36" s="11">
        <f ca="1"/>
        <v>0.36530534645204316</v>
      </c>
      <c r="BL36" s="3"/>
      <c r="BM36" s="3"/>
      <c r="BN36" s="9">
        <f ca="1"/>
        <v>0.57425315353039086</v>
      </c>
      <c r="BO36" s="10">
        <f ca="1"/>
        <v>0.63872802605315626</v>
      </c>
      <c r="BP36" s="10">
        <f ca="1"/>
        <v>0.24681594674429086</v>
      </c>
      <c r="BQ36" s="10">
        <f ca="1"/>
        <v>1</v>
      </c>
      <c r="BR36" s="11">
        <f ca="1"/>
        <v>0.28950803813331716</v>
      </c>
      <c r="BS36" s="3"/>
      <c r="BU36" s="9">
        <f ca="1"/>
        <v>0.28638695206500819</v>
      </c>
      <c r="BV36" s="10">
        <f ca="1"/>
        <v>0.15109828680213175</v>
      </c>
      <c r="BW36" s="10">
        <f ca="1"/>
        <v>0.69583378177136035</v>
      </c>
      <c r="BX36" s="10">
        <f ca="1"/>
        <v>1</v>
      </c>
      <c r="BY36" s="11">
        <f ca="1"/>
        <v>0.31200558690749469</v>
      </c>
      <c r="CA36" s="29"/>
    </row>
    <row r="37" spans="1:79" s="1" customFormat="1" ht="18" customHeight="1" x14ac:dyDescent="0.2">
      <c r="A37" s="7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U37" s="3"/>
      <c r="BV37" s="3"/>
      <c r="BW37" s="3"/>
      <c r="BX37" s="3"/>
      <c r="BY37" s="3"/>
      <c r="CA37" s="29"/>
    </row>
    <row r="38" spans="1:79" s="1" customFormat="1" ht="18" customHeight="1" thickBot="1" x14ac:dyDescent="0.25">
      <c r="A38" s="7"/>
      <c r="B38" s="99">
        <v>5</v>
      </c>
      <c r="C38" s="97" t="s">
        <v>12</v>
      </c>
      <c r="D38" s="97"/>
      <c r="E38" s="97"/>
      <c r="F38" s="97"/>
      <c r="G38" s="97"/>
      <c r="H38" s="28"/>
      <c r="I38" s="3"/>
      <c r="J38" s="97" t="str" cm="1">
        <f t="array" aca="1" ref="J38" ca="1">INDEX(Helper!$E$13:$E$22, OFFSET(Helper!$J$13,$B38,J$2))</f>
        <v>Shift Down</v>
      </c>
      <c r="K38" s="97"/>
      <c r="L38" s="97"/>
      <c r="M38" s="97"/>
      <c r="N38" s="97"/>
      <c r="O38" s="3"/>
      <c r="P38" s="3"/>
      <c r="Q38" s="97" t="str" cm="1">
        <f t="array" aca="1" ref="Q38" ca="1">INDEX(Helper!$E$13:$E$22, OFFSET(Helper!$J$13,$B38,Q$2))</f>
        <v>Vertical Flip</v>
      </c>
      <c r="R38" s="97"/>
      <c r="S38" s="97"/>
      <c r="T38" s="97"/>
      <c r="U38" s="97"/>
      <c r="V38" s="3"/>
      <c r="W38" s="3"/>
      <c r="X38" s="97" t="str" cm="1">
        <f t="array" aca="1" ref="X38" ca="1">INDEX(Helper!$E$13:$E$22, OFFSET(Helper!$J$13,$B38,X$2))</f>
        <v>90 CCW</v>
      </c>
      <c r="Y38" s="97"/>
      <c r="Z38" s="97"/>
      <c r="AA38" s="97"/>
      <c r="AB38" s="97"/>
      <c r="AC38" s="3"/>
      <c r="AD38" s="3"/>
      <c r="AE38" s="97" t="str" cm="1">
        <f t="array" aca="1" ref="AE38" ca="1">INDEX(Helper!$E$13:$E$22, OFFSET(Helper!$J$13,$B38,AE$2))</f>
        <v>Noise</v>
      </c>
      <c r="AF38" s="97"/>
      <c r="AG38" s="97"/>
      <c r="AH38" s="97"/>
      <c r="AI38" s="97"/>
      <c r="AJ38" s="3"/>
      <c r="AK38" s="3"/>
      <c r="AL38" s="97" t="str" cm="1">
        <f t="array" aca="1" ref="AL38" ca="1">INDEX(Helper!$E$13:$E$22, OFFSET(Helper!$J$13,$B38,AL$2))</f>
        <v>Horizontal Flip</v>
      </c>
      <c r="AM38" s="97"/>
      <c r="AN38" s="97"/>
      <c r="AO38" s="97"/>
      <c r="AP38" s="97"/>
      <c r="AQ38" s="3"/>
      <c r="AR38" s="3"/>
      <c r="AS38" s="97" t="str" cm="1">
        <f t="array" aca="1" ref="AS38" ca="1">INDEX(Helper!$E$13:$E$22, OFFSET(Helper!$J$13,$B38,AS$2))</f>
        <v>180 Rotation</v>
      </c>
      <c r="AT38" s="97"/>
      <c r="AU38" s="97"/>
      <c r="AV38" s="97"/>
      <c r="AW38" s="97"/>
      <c r="AX38" s="3"/>
      <c r="AY38" s="3"/>
      <c r="AZ38" s="97" t="str" cm="1">
        <f t="array" aca="1" ref="AZ38" ca="1">INDEX(Helper!$E$13:$E$22, OFFSET(Helper!$J$13,$B38,AZ$2))</f>
        <v>Shift Left</v>
      </c>
      <c r="BA38" s="97"/>
      <c r="BB38" s="97"/>
      <c r="BC38" s="97"/>
      <c r="BD38" s="97"/>
      <c r="BE38" s="3"/>
      <c r="BG38" s="97" t="str" cm="1">
        <f t="array" aca="1" ref="BG38" ca="1">INDEX(Helper!$E$13:$E$22, OFFSET(Helper!$J$13,$B38,BG$2))</f>
        <v>Shift Up</v>
      </c>
      <c r="BH38" s="97"/>
      <c r="BI38" s="97"/>
      <c r="BJ38" s="97"/>
      <c r="BK38" s="97"/>
      <c r="BL38" s="3"/>
      <c r="BM38" s="3"/>
      <c r="BN38" s="97" t="str" cm="1">
        <f t="array" aca="1" ref="BN38" ca="1">INDEX(Helper!$E$13:$E$22, OFFSET(Helper!$J$13,$B38,BN$2))</f>
        <v>90 CW</v>
      </c>
      <c r="BO38" s="97"/>
      <c r="BP38" s="97"/>
      <c r="BQ38" s="97"/>
      <c r="BR38" s="97"/>
      <c r="BS38" s="3"/>
      <c r="BU38" s="97" t="str" cm="1">
        <f t="array" aca="1" ref="BU38" ca="1">INDEX(Helper!$E$13:$E$22, OFFSET(Helper!$J$13,$B38,BU$2))</f>
        <v>Shift Right</v>
      </c>
      <c r="BV38" s="97"/>
      <c r="BW38" s="97"/>
      <c r="BX38" s="97"/>
      <c r="BY38" s="97"/>
      <c r="CA38" s="29"/>
    </row>
    <row r="39" spans="1:79" s="1" customFormat="1" ht="18" customHeight="1" x14ac:dyDescent="0.2">
      <c r="A39" s="7"/>
      <c r="B39" s="99"/>
      <c r="C39" s="4">
        <v>0.60426402558797665</v>
      </c>
      <c r="D39" s="5">
        <v>1</v>
      </c>
      <c r="E39" s="5">
        <v>1</v>
      </c>
      <c r="F39" s="5">
        <v>1</v>
      </c>
      <c r="G39" s="6">
        <v>0.23057421397337907</v>
      </c>
      <c r="H39" s="3"/>
      <c r="I39" s="3"/>
      <c r="J39" s="4" cm="1">
        <f t="array" aca="1" ref="J39:N43" ca="1">_xlfn.IFS(J38="None",  $C39:$G43*0,           J38="Horizontal Flip", INDEX($C39:$G43, _xlfn.SEQUENCE(5), 6 - _xlfn.SEQUENCE(1,5)),        J38="Vertical Flip", INDEX($C39:$G43, 6 - _xlfn.SEQUENCE(5), _xlfn.SEQUENCE(1,5)),      J38="180 Rotation", INDEX($C39:$G43, 6 - _xlfn.SEQUENCE(5), 6 - _xlfn.SEQUENCE(1,5)),        J38="90 CW", INDEX($C39:$G43, 6 - _xlfn.SEQUENCE(1,5), _xlfn.SEQUENCE(5)),          J38="90 CCW", INDEX($C39:$G43, _xlfn.SEQUENCE(1,5), 6 - _xlfn.SEQUENCE(5)),         J38="Shift Up", IF(_xlfn.SEQUENCE(5)+1&lt;=5, INDEX($C39:$G43, _xlfn.SEQUENCE(5)+1, _xlfn.SEQUENCE(1,5)), 0),         J38="Shift Down", IF(_xlfn.SEQUENCE(5)-1&gt;=1, INDEX($C39:$G43, _xlfn.SEQUENCE(5)-1, _xlfn.SEQUENCE(1,5)), 0),         J38="Shift Left",   IF(_xlfn.SEQUENCE(1,5)+1&lt;=5, INDEX($C39:$G43, _xlfn.SEQUENCE(5), _xlfn.SEQUENCE(1,5)+1),0),         J38= "Shift Right",  IF(_xlfn.SEQUENCE(1,5)-1&gt;=1, INDEX($C39:$G43, _xlfn.SEQUENCE(5), _xlfn.SEQUENCE(1,5)-1), 0),        J38="Noise",  _xlfn.MAP($C39:$G43 + (_xlfn.RANDARRAY(ROWS($C39:$G43), COLUMNS($C39:$G43)) - 0.5) * 0.4, _xlfn.LAMBDA(_xlpm.x, MAX(0, MIN(1, _xlpm.x)))))</f>
        <v>0</v>
      </c>
      <c r="K39" s="5">
        <f ca="1"/>
        <v>0</v>
      </c>
      <c r="L39" s="5">
        <f ca="1"/>
        <v>0</v>
      </c>
      <c r="M39" s="5">
        <f ca="1"/>
        <v>0</v>
      </c>
      <c r="N39" s="6">
        <f ca="1"/>
        <v>0</v>
      </c>
      <c r="O39" s="3"/>
      <c r="P39" s="3"/>
      <c r="Q39" s="4" cm="1">
        <f t="array" aca="1" ref="Q39:U43" ca="1">_xlfn.IFS(Q38="None",  $C39:$G43*0,           Q38="Horizontal Flip", INDEX($C39:$G43, _xlfn.SEQUENCE(5), 6 - _xlfn.SEQUENCE(1,5)),        Q38="Vertical Flip", INDEX($C39:$G43, 6 - _xlfn.SEQUENCE(5), _xlfn.SEQUENCE(1,5)),      Q38="180 Rotation", INDEX($C39:$G43, 6 - _xlfn.SEQUENCE(5), 6 - _xlfn.SEQUENCE(1,5)),        Q38="90 CW", INDEX($C39:$G43, 6 - _xlfn.SEQUENCE(1,5), _xlfn.SEQUENCE(5)),          Q38="90 CCW", INDEX($C39:$G43, _xlfn.SEQUENCE(1,5), 6 - _xlfn.SEQUENCE(5)),         Q38="Shift Up", IF(_xlfn.SEQUENCE(5)+1&lt;=5, INDEX($C39:$G43, _xlfn.SEQUENCE(5)+1, _xlfn.SEQUENCE(1,5)), 0),         Q38="Shift Down", IF(_xlfn.SEQUENCE(5)-1&gt;=1, INDEX($C39:$G43, _xlfn.SEQUENCE(5)-1, _xlfn.SEQUENCE(1,5)), 0),         Q38="Shift Left",   IF(_xlfn.SEQUENCE(1,5)+1&lt;=5, INDEX($C39:$G43, _xlfn.SEQUENCE(5), _xlfn.SEQUENCE(1,5)+1),0),         Q38= "Shift Right",  IF(_xlfn.SEQUENCE(1,5)-1&gt;=1, INDEX($C39:$G43, _xlfn.SEQUENCE(5), _xlfn.SEQUENCE(1,5)-1), 0),        Q38="Noise",  _xlfn.MAP($C39:$G43 + (_xlfn.RANDARRAY(ROWS($C39:$G43), COLUMNS($C39:$G43)) - 0.5) * 0.4, _xlfn.LAMBDA(_xlpm.x, MAX(0, MIN(1, _xlpm.x)))))</f>
        <v>0.52047149067672216</v>
      </c>
      <c r="R39" s="5">
        <f ca="1"/>
        <v>1</v>
      </c>
      <c r="S39" s="5">
        <f ca="1"/>
        <v>1</v>
      </c>
      <c r="T39" s="5">
        <f ca="1"/>
        <v>1</v>
      </c>
      <c r="U39" s="6">
        <f ca="1"/>
        <v>0.45070920851494067</v>
      </c>
      <c r="V39" s="3"/>
      <c r="W39" s="3"/>
      <c r="X39" s="4" cm="1">
        <f t="array" aca="1" ref="X39:AB43" ca="1">_xlfn.IFS(X38="None",  $C39:$G43*0,           X38="Horizontal Flip", INDEX($C39:$G43, _xlfn.SEQUENCE(5), 6 - _xlfn.SEQUENCE(1,5)),        X38="Vertical Flip", INDEX($C39:$G43, 6 - _xlfn.SEQUENCE(5), _xlfn.SEQUENCE(1,5)),      X38="180 Rotation", INDEX($C39:$G43, 6 - _xlfn.SEQUENCE(5), 6 - _xlfn.SEQUENCE(1,5)),        X38="90 CW", INDEX($C39:$G43, 6 - _xlfn.SEQUENCE(1,5), _xlfn.SEQUENCE(5)),          X38="90 CCW", INDEX($C39:$G43, _xlfn.SEQUENCE(1,5), 6 - _xlfn.SEQUENCE(5)),         X38="Shift Up", IF(_xlfn.SEQUENCE(5)+1&lt;=5, INDEX($C39:$G43, _xlfn.SEQUENCE(5)+1, _xlfn.SEQUENCE(1,5)), 0),         X38="Shift Down", IF(_xlfn.SEQUENCE(5)-1&gt;=1, INDEX($C39:$G43, _xlfn.SEQUENCE(5)-1, _xlfn.SEQUENCE(1,5)), 0),         X38="Shift Left",   IF(_xlfn.SEQUENCE(1,5)+1&lt;=5, INDEX($C39:$G43, _xlfn.SEQUENCE(5), _xlfn.SEQUENCE(1,5)+1),0),         X38= "Shift Right",  IF(_xlfn.SEQUENCE(1,5)-1&gt;=1, INDEX($C39:$G43, _xlfn.SEQUENCE(5), _xlfn.SEQUENCE(1,5)-1), 0),        X38="Noise",  _xlfn.MAP($C39:$G43 + (_xlfn.RANDARRAY(ROWS($C39:$G43), COLUMNS($C39:$G43)) - 0.5) * 0.4, _xlfn.LAMBDA(_xlpm.x, MAX(0, MIN(1, _xlpm.x)))))</f>
        <v>0.23057421397337907</v>
      </c>
      <c r="Y39" s="5">
        <f ca="1"/>
        <v>0.51323825156367442</v>
      </c>
      <c r="Z39" s="5">
        <f ca="1"/>
        <v>0.36518621467424861</v>
      </c>
      <c r="AA39" s="5">
        <f ca="1"/>
        <v>0.43833469537172365</v>
      </c>
      <c r="AB39" s="6">
        <f ca="1"/>
        <v>0.45070920851494067</v>
      </c>
      <c r="AC39" s="3"/>
      <c r="AD39" s="3"/>
      <c r="AE39" s="4" cm="1">
        <f t="array" aca="1" ref="AE39:AI43" ca="1">_xlfn.IFS(AE38="None",  $C39:$G43*0,           AE38="Horizontal Flip", INDEX($C39:$G43, _xlfn.SEQUENCE(5), 6 - _xlfn.SEQUENCE(1,5)),        AE38="Vertical Flip", INDEX($C39:$G43, 6 - _xlfn.SEQUENCE(5), _xlfn.SEQUENCE(1,5)),      AE38="180 Rotation", INDEX($C39:$G43, 6 - _xlfn.SEQUENCE(5), 6 - _xlfn.SEQUENCE(1,5)),        AE38="90 CW", INDEX($C39:$G43, 6 - _xlfn.SEQUENCE(1,5), _xlfn.SEQUENCE(5)),          AE38="90 CCW", INDEX($C39:$G43, _xlfn.SEQUENCE(1,5), 6 - _xlfn.SEQUENCE(5)),         AE38="Shift Up", IF(_xlfn.SEQUENCE(5)+1&lt;=5, INDEX($C39:$G43, _xlfn.SEQUENCE(5)+1, _xlfn.SEQUENCE(1,5)), 0),         AE38="Shift Down", IF(_xlfn.SEQUENCE(5)-1&gt;=1, INDEX($C39:$G43, _xlfn.SEQUENCE(5)-1, _xlfn.SEQUENCE(1,5)), 0),         AE38="Shift Left",   IF(_xlfn.SEQUENCE(1,5)+1&lt;=5, INDEX($C39:$G43, _xlfn.SEQUENCE(5), _xlfn.SEQUENCE(1,5)+1),0),         AE38= "Shift Right",  IF(_xlfn.SEQUENCE(1,5)-1&gt;=1, INDEX($C39:$G43, _xlfn.SEQUENCE(5), _xlfn.SEQUENCE(1,5)-1), 0),        AE38="Noise",  _xlfn.MAP($C39:$G43 + (_xlfn.RANDARRAY(ROWS($C39:$G43), COLUMNS($C39:$G43)) - 0.5) * 0.4, _xlfn.LAMBDA(_xlpm.x, MAX(0, MIN(1, _xlpm.x)))))</f>
        <v>0.42874909084414126</v>
      </c>
      <c r="AF39" s="5">
        <f ca="1"/>
        <v>1</v>
      </c>
      <c r="AG39" s="5">
        <f ca="1"/>
        <v>1</v>
      </c>
      <c r="AH39" s="5">
        <f ca="1"/>
        <v>1</v>
      </c>
      <c r="AI39" s="6">
        <f ca="1"/>
        <v>0.16412147800749541</v>
      </c>
      <c r="AJ39" s="3"/>
      <c r="AK39" s="3"/>
      <c r="AL39" s="4" cm="1">
        <f t="array" aca="1" ref="AL39:AP43" ca="1">_xlfn.IFS(AL38="None",  $C39:$G43*0,           AL38="Horizontal Flip", INDEX($C39:$G43, _xlfn.SEQUENCE(5), 6 - _xlfn.SEQUENCE(1,5)),        AL38="Vertical Flip", INDEX($C39:$G43, 6 - _xlfn.SEQUENCE(5), _xlfn.SEQUENCE(1,5)),      AL38="180 Rotation", INDEX($C39:$G43, 6 - _xlfn.SEQUENCE(5), 6 - _xlfn.SEQUENCE(1,5)),        AL38="90 CW", INDEX($C39:$G43, 6 - _xlfn.SEQUENCE(1,5), _xlfn.SEQUENCE(5)),          AL38="90 CCW", INDEX($C39:$G43, _xlfn.SEQUENCE(1,5), 6 - _xlfn.SEQUENCE(5)),         AL38="Shift Up", IF(_xlfn.SEQUENCE(5)+1&lt;=5, INDEX($C39:$G43, _xlfn.SEQUENCE(5)+1, _xlfn.SEQUENCE(1,5)), 0),         AL38="Shift Down", IF(_xlfn.SEQUENCE(5)-1&gt;=1, INDEX($C39:$G43, _xlfn.SEQUENCE(5)-1, _xlfn.SEQUENCE(1,5)), 0),         AL38="Shift Left",   IF(_xlfn.SEQUENCE(1,5)+1&lt;=5, INDEX($C39:$G43, _xlfn.SEQUENCE(5), _xlfn.SEQUENCE(1,5)+1),0),         AL38= "Shift Right",  IF(_xlfn.SEQUENCE(1,5)-1&gt;=1, INDEX($C39:$G43, _xlfn.SEQUENCE(5), _xlfn.SEQUENCE(1,5)-1), 0),        AL38="Noise",  _xlfn.MAP($C39:$G43 + (_xlfn.RANDARRAY(ROWS($C39:$G43), COLUMNS($C39:$G43)) - 0.5) * 0.4, _xlfn.LAMBDA(_xlpm.x, MAX(0, MIN(1, _xlpm.x)))))</f>
        <v>0.23057421397337907</v>
      </c>
      <c r="AM39" s="5">
        <f ca="1"/>
        <v>1</v>
      </c>
      <c r="AN39" s="5">
        <f ca="1"/>
        <v>1</v>
      </c>
      <c r="AO39" s="5">
        <f ca="1"/>
        <v>1</v>
      </c>
      <c r="AP39" s="6">
        <f ca="1"/>
        <v>0.60426402558797665</v>
      </c>
      <c r="AQ39" s="3"/>
      <c r="AR39" s="3"/>
      <c r="AS39" s="4" cm="1">
        <f t="array" aca="1" ref="AS39:AW43" ca="1">_xlfn.IFS(AS38="None",  $C39:$G43*0,           AS38="Horizontal Flip", INDEX($C39:$G43, _xlfn.SEQUENCE(5), 6 - _xlfn.SEQUENCE(1,5)),        AS38="Vertical Flip", INDEX($C39:$G43, 6 - _xlfn.SEQUENCE(5), _xlfn.SEQUENCE(1,5)),      AS38="180 Rotation", INDEX($C39:$G43, 6 - _xlfn.SEQUENCE(5), 6 - _xlfn.SEQUENCE(1,5)),        AS38="90 CW", INDEX($C39:$G43, 6 - _xlfn.SEQUENCE(1,5), _xlfn.SEQUENCE(5)),          AS38="90 CCW", INDEX($C39:$G43, _xlfn.SEQUENCE(1,5), 6 - _xlfn.SEQUENCE(5)),         AS38="Shift Up", IF(_xlfn.SEQUENCE(5)+1&lt;=5, INDEX($C39:$G43, _xlfn.SEQUENCE(5)+1, _xlfn.SEQUENCE(1,5)), 0),         AS38="Shift Down", IF(_xlfn.SEQUENCE(5)-1&gt;=1, INDEX($C39:$G43, _xlfn.SEQUENCE(5)-1, _xlfn.SEQUENCE(1,5)), 0),         AS38="Shift Left",   IF(_xlfn.SEQUENCE(1,5)+1&lt;=5, INDEX($C39:$G43, _xlfn.SEQUENCE(5), _xlfn.SEQUENCE(1,5)+1),0),         AS38= "Shift Right",  IF(_xlfn.SEQUENCE(1,5)-1&gt;=1, INDEX($C39:$G43, _xlfn.SEQUENCE(5), _xlfn.SEQUENCE(1,5)-1), 0),        AS38="Noise",  _xlfn.MAP($C39:$G43 + (_xlfn.RANDARRAY(ROWS($C39:$G43), COLUMNS($C39:$G43)) - 0.5) * 0.4, _xlfn.LAMBDA(_xlpm.x, MAX(0, MIN(1, _xlpm.x)))))</f>
        <v>0.45070920851494067</v>
      </c>
      <c r="AT39" s="5">
        <f ca="1"/>
        <v>1</v>
      </c>
      <c r="AU39" s="5">
        <f ca="1"/>
        <v>1</v>
      </c>
      <c r="AV39" s="5">
        <f ca="1"/>
        <v>1</v>
      </c>
      <c r="AW39" s="6">
        <f ca="1"/>
        <v>0.52047149067672216</v>
      </c>
      <c r="AX39" s="3"/>
      <c r="AY39" s="3"/>
      <c r="AZ39" s="4" cm="1">
        <f t="array" aca="1" ref="AZ39:BD43" ca="1">_xlfn.IFS(AZ38="None",  $C39:$G43*0,           AZ38="Horizontal Flip", INDEX($C39:$G43, _xlfn.SEQUENCE(5), 6 - _xlfn.SEQUENCE(1,5)),        AZ38="Vertical Flip", INDEX($C39:$G43, 6 - _xlfn.SEQUENCE(5), _xlfn.SEQUENCE(1,5)),      AZ38="180 Rotation", INDEX($C39:$G43, 6 - _xlfn.SEQUENCE(5), 6 - _xlfn.SEQUENCE(1,5)),        AZ38="90 CW", INDEX($C39:$G43, 6 - _xlfn.SEQUENCE(1,5), _xlfn.SEQUENCE(5)),          AZ38="90 CCW", INDEX($C39:$G43, _xlfn.SEQUENCE(1,5), 6 - _xlfn.SEQUENCE(5)),         AZ38="Shift Up", IF(_xlfn.SEQUENCE(5)+1&lt;=5, INDEX($C39:$G43, _xlfn.SEQUENCE(5)+1, _xlfn.SEQUENCE(1,5)), 0),         AZ38="Shift Down", IF(_xlfn.SEQUENCE(5)-1&gt;=1, INDEX($C39:$G43, _xlfn.SEQUENCE(5)-1, _xlfn.SEQUENCE(1,5)), 0),         AZ38="Shift Left",   IF(_xlfn.SEQUENCE(1,5)+1&lt;=5, INDEX($C39:$G43, _xlfn.SEQUENCE(5), _xlfn.SEQUENCE(1,5)+1),0),         AZ38= "Shift Right",  IF(_xlfn.SEQUENCE(1,5)-1&gt;=1, INDEX($C39:$G43, _xlfn.SEQUENCE(5), _xlfn.SEQUENCE(1,5)-1), 0),        AZ38="Noise",  _xlfn.MAP($C39:$G43 + (_xlfn.RANDARRAY(ROWS($C39:$G43), COLUMNS($C39:$G43)) - 0.5) * 0.4, _xlfn.LAMBDA(_xlpm.x, MAX(0, MIN(1, _xlpm.x)))))</f>
        <v>1</v>
      </c>
      <c r="BA39" s="5">
        <f ca="1"/>
        <v>1</v>
      </c>
      <c r="BB39" s="5">
        <f ca="1"/>
        <v>1</v>
      </c>
      <c r="BC39" s="5">
        <f ca="1"/>
        <v>0.23057421397337907</v>
      </c>
      <c r="BD39" s="6">
        <f ca="1"/>
        <v>0</v>
      </c>
      <c r="BE39" s="3"/>
      <c r="BG39" s="4" cm="1">
        <f t="array" aca="1" ref="BG39:BK43" ca="1">_xlfn.IFS(BG38="None",  $C39:$G43*0,           BG38="Horizontal Flip", INDEX($C39:$G43, _xlfn.SEQUENCE(5), 6 - _xlfn.SEQUENCE(1,5)),        BG38="Vertical Flip", INDEX($C39:$G43, 6 - _xlfn.SEQUENCE(5), _xlfn.SEQUENCE(1,5)),      BG38="180 Rotation", INDEX($C39:$G43, 6 - _xlfn.SEQUENCE(5), 6 - _xlfn.SEQUENCE(1,5)),        BG38="90 CW", INDEX($C39:$G43, 6 - _xlfn.SEQUENCE(1,5), _xlfn.SEQUENCE(5)),          BG38="90 CCW", INDEX($C39:$G43, _xlfn.SEQUENCE(1,5), 6 - _xlfn.SEQUENCE(5)),         BG38="Shift Up", IF(_xlfn.SEQUENCE(5)+1&lt;=5, INDEX($C39:$G43, _xlfn.SEQUENCE(5)+1, _xlfn.SEQUENCE(1,5)), 0),         BG38="Shift Down", IF(_xlfn.SEQUENCE(5)-1&gt;=1, INDEX($C39:$G43, _xlfn.SEQUENCE(5)-1, _xlfn.SEQUENCE(1,5)), 0),         BG38="Shift Left",   IF(_xlfn.SEQUENCE(1,5)+1&lt;=5, INDEX($C39:$G43, _xlfn.SEQUENCE(5), _xlfn.SEQUENCE(1,5)+1),0),         BG38= "Shift Right",  IF(_xlfn.SEQUENCE(1,5)-1&gt;=1, INDEX($C39:$G43, _xlfn.SEQUENCE(5), _xlfn.SEQUENCE(1,5)-1), 0),        BG38="Noise",  _xlfn.MAP($C39:$G43 + (_xlfn.RANDARRAY(ROWS($C39:$G43), COLUMNS($C39:$G43)) - 0.5) * 0.4, _xlfn.LAMBDA(_xlpm.x, MAX(0, MIN(1, _xlpm.x)))))</f>
        <v>0.15814065272525224</v>
      </c>
      <c r="BH39" s="5">
        <f ca="1"/>
        <v>1</v>
      </c>
      <c r="BI39" s="5">
        <f ca="1"/>
        <v>0.19063535018698208</v>
      </c>
      <c r="BJ39" s="5">
        <f ca="1"/>
        <v>0.34958417480323833</v>
      </c>
      <c r="BK39" s="6">
        <f ca="1"/>
        <v>0.51323825156367442</v>
      </c>
      <c r="BL39" s="3"/>
      <c r="BM39" s="3"/>
      <c r="BN39" s="4" cm="1">
        <f t="array" aca="1" ref="BN39:BR43" ca="1">_xlfn.IFS(BN38="None",  $C39:$G43*0,           BN38="Horizontal Flip", INDEX($C39:$G43, _xlfn.SEQUENCE(5), 6 - _xlfn.SEQUENCE(1,5)),        BN38="Vertical Flip", INDEX($C39:$G43, 6 - _xlfn.SEQUENCE(5), _xlfn.SEQUENCE(1,5)),      BN38="180 Rotation", INDEX($C39:$G43, 6 - _xlfn.SEQUENCE(5), 6 - _xlfn.SEQUENCE(1,5)),        BN38="90 CW", INDEX($C39:$G43, 6 - _xlfn.SEQUENCE(1,5), _xlfn.SEQUENCE(5)),          BN38="90 CCW", INDEX($C39:$G43, _xlfn.SEQUENCE(1,5), 6 - _xlfn.SEQUENCE(5)),         BN38="Shift Up", IF(_xlfn.SEQUENCE(5)+1&lt;=5, INDEX($C39:$G43, _xlfn.SEQUENCE(5)+1, _xlfn.SEQUENCE(1,5)), 0),         BN38="Shift Down", IF(_xlfn.SEQUENCE(5)-1&gt;=1, INDEX($C39:$G43, _xlfn.SEQUENCE(5)-1, _xlfn.SEQUENCE(1,5)), 0),         BN38="Shift Left",   IF(_xlfn.SEQUENCE(1,5)+1&lt;=5, INDEX($C39:$G43, _xlfn.SEQUENCE(5), _xlfn.SEQUENCE(1,5)+1),0),         BN38= "Shift Right",  IF(_xlfn.SEQUENCE(1,5)-1&gt;=1, INDEX($C39:$G43, _xlfn.SEQUENCE(5), _xlfn.SEQUENCE(1,5)-1), 0),        BN38="Noise",  _xlfn.MAP($C39:$G43 + (_xlfn.RANDARRAY(ROWS($C39:$G43), COLUMNS($C39:$G43)) - 0.5) * 0.4, _xlfn.LAMBDA(_xlpm.x, MAX(0, MIN(1, _xlpm.x)))))</f>
        <v>0.52047149067672216</v>
      </c>
      <c r="BO39" s="5">
        <f ca="1"/>
        <v>0.54181176279372867</v>
      </c>
      <c r="BP39" s="5">
        <f ca="1"/>
        <v>0.26963243053853292</v>
      </c>
      <c r="BQ39" s="5">
        <f ca="1"/>
        <v>0.15814065272525224</v>
      </c>
      <c r="BR39" s="6">
        <f ca="1"/>
        <v>0.60426402558797665</v>
      </c>
      <c r="BS39" s="3"/>
      <c r="BU39" s="4" cm="1">
        <f t="array" aca="1" ref="BU39:BY43" ca="1">_xlfn.IFS(BU38="None",  $C39:$G43*0,           BU38="Horizontal Flip", INDEX($C39:$G43, _xlfn.SEQUENCE(5), 6 - _xlfn.SEQUENCE(1,5)),        BU38="Vertical Flip", INDEX($C39:$G43, 6 - _xlfn.SEQUENCE(5), _xlfn.SEQUENCE(1,5)),      BU38="180 Rotation", INDEX($C39:$G43, 6 - _xlfn.SEQUENCE(5), 6 - _xlfn.SEQUENCE(1,5)),        BU38="90 CW", INDEX($C39:$G43, 6 - _xlfn.SEQUENCE(1,5), _xlfn.SEQUENCE(5)),          BU38="90 CCW", INDEX($C39:$G43, _xlfn.SEQUENCE(1,5), 6 - _xlfn.SEQUENCE(5)),         BU38="Shift Up", IF(_xlfn.SEQUENCE(5)+1&lt;=5, INDEX($C39:$G43, _xlfn.SEQUENCE(5)+1, _xlfn.SEQUENCE(1,5)), 0),         BU38="Shift Down", IF(_xlfn.SEQUENCE(5)-1&gt;=1, INDEX($C39:$G43, _xlfn.SEQUENCE(5)-1, _xlfn.SEQUENCE(1,5)), 0),         BU38="Shift Left",   IF(_xlfn.SEQUENCE(1,5)+1&lt;=5, INDEX($C39:$G43, _xlfn.SEQUENCE(5), _xlfn.SEQUENCE(1,5)+1),0),         BU38= "Shift Right",  IF(_xlfn.SEQUENCE(1,5)-1&gt;=1, INDEX($C39:$G43, _xlfn.SEQUENCE(5), _xlfn.SEQUENCE(1,5)-1), 0),        BU38="Noise",  _xlfn.MAP($C39:$G43 + (_xlfn.RANDARRAY(ROWS($C39:$G43), COLUMNS($C39:$G43)) - 0.5) * 0.4, _xlfn.LAMBDA(_xlpm.x, MAX(0, MIN(1, _xlpm.x)))))</f>
        <v>0</v>
      </c>
      <c r="BV39" s="5">
        <f ca="1"/>
        <v>0.60426402558797665</v>
      </c>
      <c r="BW39" s="5">
        <f ca="1"/>
        <v>1</v>
      </c>
      <c r="BX39" s="5">
        <f ca="1"/>
        <v>1</v>
      </c>
      <c r="BY39" s="6">
        <f ca="1"/>
        <v>1</v>
      </c>
      <c r="CA39" s="29"/>
    </row>
    <row r="40" spans="1:79" s="1" customFormat="1" ht="18" customHeight="1" x14ac:dyDescent="0.2">
      <c r="A40" s="7"/>
      <c r="B40" s="99"/>
      <c r="C40" s="7">
        <v>0.15814065272525224</v>
      </c>
      <c r="D40" s="3">
        <v>1</v>
      </c>
      <c r="E40" s="3">
        <v>0.19063535018698208</v>
      </c>
      <c r="F40" s="3">
        <v>0.34958417480323833</v>
      </c>
      <c r="G40" s="8">
        <v>0.51323825156367442</v>
      </c>
      <c r="H40" s="3"/>
      <c r="I40" s="3"/>
      <c r="J40" s="7">
        <f ca="1"/>
        <v>0.60426402558797665</v>
      </c>
      <c r="K40" s="3">
        <f ca="1"/>
        <v>1</v>
      </c>
      <c r="L40" s="3">
        <f ca="1"/>
        <v>1</v>
      </c>
      <c r="M40" s="3">
        <f ca="1"/>
        <v>1</v>
      </c>
      <c r="N40" s="8">
        <f ca="1"/>
        <v>0.23057421397337907</v>
      </c>
      <c r="O40" s="3"/>
      <c r="P40" s="3"/>
      <c r="Q40" s="7">
        <f ca="1"/>
        <v>0.54181176279372867</v>
      </c>
      <c r="R40" s="3">
        <f ca="1"/>
        <v>0.51168128563951576</v>
      </c>
      <c r="S40" s="3">
        <f ca="1"/>
        <v>0.29391519553277146</v>
      </c>
      <c r="T40" s="3">
        <f ca="1"/>
        <v>1</v>
      </c>
      <c r="U40" s="8">
        <f ca="1"/>
        <v>0.43833469537172365</v>
      </c>
      <c r="V40" s="3"/>
      <c r="W40" s="3"/>
      <c r="X40" s="7">
        <f ca="1"/>
        <v>1</v>
      </c>
      <c r="Y40" s="3">
        <f ca="1"/>
        <v>0.34958417480323833</v>
      </c>
      <c r="Z40" s="3">
        <f ca="1"/>
        <v>1</v>
      </c>
      <c r="AA40" s="3">
        <f ca="1"/>
        <v>1</v>
      </c>
      <c r="AB40" s="8">
        <f ca="1"/>
        <v>1</v>
      </c>
      <c r="AC40" s="3"/>
      <c r="AD40" s="3"/>
      <c r="AE40" s="7">
        <f ca="1"/>
        <v>0.11519543731166108</v>
      </c>
      <c r="AF40" s="3">
        <f ca="1"/>
        <v>1</v>
      </c>
      <c r="AG40" s="3">
        <f ca="1"/>
        <v>7.336152878288138E-2</v>
      </c>
      <c r="AH40" s="3">
        <f ca="1"/>
        <v>0.44901200184121548</v>
      </c>
      <c r="AI40" s="8">
        <f ca="1"/>
        <v>0.68018294324510631</v>
      </c>
      <c r="AJ40" s="3"/>
      <c r="AK40" s="3"/>
      <c r="AL40" s="7">
        <f ca="1"/>
        <v>0.51323825156367442</v>
      </c>
      <c r="AM40" s="3">
        <f ca="1"/>
        <v>0.34958417480323833</v>
      </c>
      <c r="AN40" s="3">
        <f ca="1"/>
        <v>0.19063535018698208</v>
      </c>
      <c r="AO40" s="3">
        <f ca="1"/>
        <v>1</v>
      </c>
      <c r="AP40" s="8">
        <f ca="1"/>
        <v>0.15814065272525224</v>
      </c>
      <c r="AQ40" s="3"/>
      <c r="AR40" s="3"/>
      <c r="AS40" s="7">
        <f ca="1"/>
        <v>0.43833469537172365</v>
      </c>
      <c r="AT40" s="3">
        <f ca="1"/>
        <v>1</v>
      </c>
      <c r="AU40" s="3">
        <f ca="1"/>
        <v>0.29391519553277146</v>
      </c>
      <c r="AV40" s="3">
        <f ca="1"/>
        <v>0.51168128563951576</v>
      </c>
      <c r="AW40" s="8">
        <f ca="1"/>
        <v>0.54181176279372867</v>
      </c>
      <c r="AX40" s="3"/>
      <c r="AY40" s="3"/>
      <c r="AZ40" s="7">
        <f ca="1"/>
        <v>1</v>
      </c>
      <c r="BA40" s="3">
        <f ca="1"/>
        <v>0.19063535018698208</v>
      </c>
      <c r="BB40" s="3">
        <f ca="1"/>
        <v>0.34958417480323833</v>
      </c>
      <c r="BC40" s="3">
        <f ca="1"/>
        <v>0.51323825156367442</v>
      </c>
      <c r="BD40" s="8">
        <f ca="1"/>
        <v>0</v>
      </c>
      <c r="BE40" s="3"/>
      <c r="BG40" s="7">
        <f ca="1"/>
        <v>0.26963243053853292</v>
      </c>
      <c r="BH40" s="3">
        <f ca="1"/>
        <v>1</v>
      </c>
      <c r="BI40" s="3">
        <f ca="1"/>
        <v>1</v>
      </c>
      <c r="BJ40" s="3">
        <f ca="1"/>
        <v>1</v>
      </c>
      <c r="BK40" s="8">
        <f ca="1"/>
        <v>0.36518621467424861</v>
      </c>
      <c r="BL40" s="3"/>
      <c r="BM40" s="3"/>
      <c r="BN40" s="7">
        <f ca="1"/>
        <v>1</v>
      </c>
      <c r="BO40" s="3">
        <f ca="1"/>
        <v>0.51168128563951576</v>
      </c>
      <c r="BP40" s="3">
        <f ca="1"/>
        <v>1</v>
      </c>
      <c r="BQ40" s="3">
        <f ca="1"/>
        <v>1</v>
      </c>
      <c r="BR40" s="8">
        <f ca="1"/>
        <v>1</v>
      </c>
      <c r="BS40" s="3"/>
      <c r="BU40" s="7">
        <f ca="1"/>
        <v>0</v>
      </c>
      <c r="BV40" s="3">
        <f ca="1"/>
        <v>0.15814065272525224</v>
      </c>
      <c r="BW40" s="3">
        <f ca="1"/>
        <v>1</v>
      </c>
      <c r="BX40" s="3">
        <f ca="1"/>
        <v>0.19063535018698208</v>
      </c>
      <c r="BY40" s="8">
        <f ca="1"/>
        <v>0.34958417480323833</v>
      </c>
      <c r="CA40" s="29"/>
    </row>
    <row r="41" spans="1:79" s="1" customFormat="1" ht="18" customHeight="1" x14ac:dyDescent="0.2">
      <c r="A41" s="7"/>
      <c r="B41" s="99"/>
      <c r="C41" s="7">
        <v>0.26963243053853292</v>
      </c>
      <c r="D41" s="3">
        <v>1</v>
      </c>
      <c r="E41" s="3">
        <v>1</v>
      </c>
      <c r="F41" s="3">
        <v>1</v>
      </c>
      <c r="G41" s="8">
        <v>0.36518621467424861</v>
      </c>
      <c r="H41" s="3"/>
      <c r="I41" s="3"/>
      <c r="J41" s="7">
        <f ca="1"/>
        <v>0.15814065272525224</v>
      </c>
      <c r="K41" s="3">
        <f ca="1"/>
        <v>1</v>
      </c>
      <c r="L41" s="3">
        <f ca="1"/>
        <v>0.19063535018698208</v>
      </c>
      <c r="M41" s="3">
        <f ca="1"/>
        <v>0.34958417480323833</v>
      </c>
      <c r="N41" s="8">
        <f ca="1"/>
        <v>0.51323825156367442</v>
      </c>
      <c r="O41" s="3"/>
      <c r="P41" s="3"/>
      <c r="Q41" s="7">
        <f ca="1"/>
        <v>0.26963243053853292</v>
      </c>
      <c r="R41" s="3">
        <f ca="1"/>
        <v>1</v>
      </c>
      <c r="S41" s="3">
        <f ca="1"/>
        <v>1</v>
      </c>
      <c r="T41" s="3">
        <f ca="1"/>
        <v>1</v>
      </c>
      <c r="U41" s="8">
        <f ca="1"/>
        <v>0.36518621467424861</v>
      </c>
      <c r="V41" s="3"/>
      <c r="W41" s="3"/>
      <c r="X41" s="7">
        <f ca="1"/>
        <v>1</v>
      </c>
      <c r="Y41" s="3">
        <f ca="1"/>
        <v>0.19063535018698208</v>
      </c>
      <c r="Z41" s="3">
        <f ca="1"/>
        <v>1</v>
      </c>
      <c r="AA41" s="3">
        <f ca="1"/>
        <v>0.29391519553277146</v>
      </c>
      <c r="AB41" s="8">
        <f ca="1"/>
        <v>1</v>
      </c>
      <c r="AC41" s="3"/>
      <c r="AD41" s="3"/>
      <c r="AE41" s="7">
        <f ca="1"/>
        <v>0.18034481075331152</v>
      </c>
      <c r="AF41" s="3">
        <f ca="1"/>
        <v>0.81647823368791994</v>
      </c>
      <c r="AG41" s="3">
        <f ca="1"/>
        <v>0.93538815174662426</v>
      </c>
      <c r="AH41" s="3">
        <f ca="1"/>
        <v>0.94146604004807166</v>
      </c>
      <c r="AI41" s="8">
        <f ca="1"/>
        <v>0.46223950379132894</v>
      </c>
      <c r="AJ41" s="3"/>
      <c r="AK41" s="3"/>
      <c r="AL41" s="7">
        <f ca="1"/>
        <v>0.36518621467424861</v>
      </c>
      <c r="AM41" s="3">
        <f ca="1"/>
        <v>1</v>
      </c>
      <c r="AN41" s="3">
        <f ca="1"/>
        <v>1</v>
      </c>
      <c r="AO41" s="3">
        <f ca="1"/>
        <v>1</v>
      </c>
      <c r="AP41" s="8">
        <f ca="1"/>
        <v>0.26963243053853292</v>
      </c>
      <c r="AQ41" s="3"/>
      <c r="AR41" s="3"/>
      <c r="AS41" s="7">
        <f ca="1"/>
        <v>0.36518621467424861</v>
      </c>
      <c r="AT41" s="3">
        <f ca="1"/>
        <v>1</v>
      </c>
      <c r="AU41" s="3">
        <f ca="1"/>
        <v>1</v>
      </c>
      <c r="AV41" s="3">
        <f ca="1"/>
        <v>1</v>
      </c>
      <c r="AW41" s="8">
        <f ca="1"/>
        <v>0.26963243053853292</v>
      </c>
      <c r="AX41" s="3"/>
      <c r="AY41" s="3"/>
      <c r="AZ41" s="7">
        <f ca="1"/>
        <v>1</v>
      </c>
      <c r="BA41" s="3">
        <f ca="1"/>
        <v>1</v>
      </c>
      <c r="BB41" s="3">
        <f ca="1"/>
        <v>1</v>
      </c>
      <c r="BC41" s="3">
        <f ca="1"/>
        <v>0.36518621467424861</v>
      </c>
      <c r="BD41" s="8">
        <f ca="1"/>
        <v>0</v>
      </c>
      <c r="BE41" s="3"/>
      <c r="BG41" s="7">
        <f ca="1"/>
        <v>0.54181176279372867</v>
      </c>
      <c r="BH41" s="3">
        <f ca="1"/>
        <v>0.51168128563951576</v>
      </c>
      <c r="BI41" s="3">
        <f ca="1"/>
        <v>0.29391519553277146</v>
      </c>
      <c r="BJ41" s="3">
        <f ca="1"/>
        <v>1</v>
      </c>
      <c r="BK41" s="8">
        <f ca="1"/>
        <v>0.43833469537172365</v>
      </c>
      <c r="BL41" s="3"/>
      <c r="BM41" s="3"/>
      <c r="BN41" s="7">
        <f ca="1"/>
        <v>1</v>
      </c>
      <c r="BO41" s="3">
        <f ca="1"/>
        <v>0.29391519553277146</v>
      </c>
      <c r="BP41" s="3">
        <f ca="1"/>
        <v>1</v>
      </c>
      <c r="BQ41" s="3">
        <f ca="1"/>
        <v>0.19063535018698208</v>
      </c>
      <c r="BR41" s="8">
        <f ca="1"/>
        <v>1</v>
      </c>
      <c r="BS41" s="3"/>
      <c r="BU41" s="7">
        <f ca="1"/>
        <v>0</v>
      </c>
      <c r="BV41" s="3">
        <f ca="1"/>
        <v>0.26963243053853292</v>
      </c>
      <c r="BW41" s="3">
        <f ca="1"/>
        <v>1</v>
      </c>
      <c r="BX41" s="3">
        <f ca="1"/>
        <v>1</v>
      </c>
      <c r="BY41" s="8">
        <f ca="1"/>
        <v>1</v>
      </c>
      <c r="CA41" s="29"/>
    </row>
    <row r="42" spans="1:79" s="1" customFormat="1" ht="18" customHeight="1" x14ac:dyDescent="0.2">
      <c r="A42" s="7"/>
      <c r="B42" s="99"/>
      <c r="C42" s="7">
        <v>0.54181176279372867</v>
      </c>
      <c r="D42" s="3">
        <v>0.51168128563951576</v>
      </c>
      <c r="E42" s="3">
        <v>0.29391519553277146</v>
      </c>
      <c r="F42" s="3">
        <v>1</v>
      </c>
      <c r="G42" s="8">
        <v>0.43833469537172365</v>
      </c>
      <c r="H42" s="3"/>
      <c r="I42" s="3"/>
      <c r="J42" s="7">
        <f ca="1"/>
        <v>0.26963243053853292</v>
      </c>
      <c r="K42" s="3">
        <f ca="1"/>
        <v>1</v>
      </c>
      <c r="L42" s="3">
        <f ca="1"/>
        <v>1</v>
      </c>
      <c r="M42" s="3">
        <f ca="1"/>
        <v>1</v>
      </c>
      <c r="N42" s="8">
        <f ca="1"/>
        <v>0.36518621467424861</v>
      </c>
      <c r="O42" s="3"/>
      <c r="P42" s="3"/>
      <c r="Q42" s="7">
        <f ca="1"/>
        <v>0.15814065272525224</v>
      </c>
      <c r="R42" s="3">
        <f ca="1"/>
        <v>1</v>
      </c>
      <c r="S42" s="3">
        <f ca="1"/>
        <v>0.19063535018698208</v>
      </c>
      <c r="T42" s="3">
        <f ca="1"/>
        <v>0.34958417480323833</v>
      </c>
      <c r="U42" s="8">
        <f ca="1"/>
        <v>0.51323825156367442</v>
      </c>
      <c r="V42" s="3"/>
      <c r="W42" s="3"/>
      <c r="X42" s="7">
        <f ca="1"/>
        <v>1</v>
      </c>
      <c r="Y42" s="3">
        <f ca="1"/>
        <v>1</v>
      </c>
      <c r="Z42" s="3">
        <f ca="1"/>
        <v>1</v>
      </c>
      <c r="AA42" s="3">
        <f ca="1"/>
        <v>0.51168128563951576</v>
      </c>
      <c r="AB42" s="8">
        <f ca="1"/>
        <v>1</v>
      </c>
      <c r="AC42" s="3"/>
      <c r="AD42" s="3"/>
      <c r="AE42" s="7">
        <f ca="1"/>
        <v>0.46902993529611681</v>
      </c>
      <c r="AF42" s="3">
        <f ca="1"/>
        <v>0.34370214637421009</v>
      </c>
      <c r="AG42" s="3">
        <f ca="1"/>
        <v>0.39891765566547149</v>
      </c>
      <c r="AH42" s="3">
        <f ca="1"/>
        <v>0.9403124570463407</v>
      </c>
      <c r="AI42" s="8">
        <f ca="1"/>
        <v>0.57695586495740869</v>
      </c>
      <c r="AJ42" s="3"/>
      <c r="AK42" s="3"/>
      <c r="AL42" s="7">
        <f ca="1"/>
        <v>0.43833469537172365</v>
      </c>
      <c r="AM42" s="3">
        <f ca="1"/>
        <v>1</v>
      </c>
      <c r="AN42" s="3">
        <f ca="1"/>
        <v>0.29391519553277146</v>
      </c>
      <c r="AO42" s="3">
        <f ca="1"/>
        <v>0.51168128563951576</v>
      </c>
      <c r="AP42" s="8">
        <f ca="1"/>
        <v>0.54181176279372867</v>
      </c>
      <c r="AQ42" s="3"/>
      <c r="AR42" s="3"/>
      <c r="AS42" s="7">
        <f ca="1"/>
        <v>0.51323825156367442</v>
      </c>
      <c r="AT42" s="3">
        <f ca="1"/>
        <v>0.34958417480323833</v>
      </c>
      <c r="AU42" s="3">
        <f ca="1"/>
        <v>0.19063535018698208</v>
      </c>
      <c r="AV42" s="3">
        <f ca="1"/>
        <v>1</v>
      </c>
      <c r="AW42" s="8">
        <f ca="1"/>
        <v>0.15814065272525224</v>
      </c>
      <c r="AX42" s="3"/>
      <c r="AY42" s="3"/>
      <c r="AZ42" s="7">
        <f ca="1"/>
        <v>0.51168128563951576</v>
      </c>
      <c r="BA42" s="3">
        <f ca="1"/>
        <v>0.29391519553277146</v>
      </c>
      <c r="BB42" s="3">
        <f ca="1"/>
        <v>1</v>
      </c>
      <c r="BC42" s="3">
        <f ca="1"/>
        <v>0.43833469537172365</v>
      </c>
      <c r="BD42" s="8">
        <f ca="1"/>
        <v>0</v>
      </c>
      <c r="BE42" s="3"/>
      <c r="BG42" s="7">
        <f ca="1"/>
        <v>0.52047149067672216</v>
      </c>
      <c r="BH42" s="3">
        <f ca="1"/>
        <v>1</v>
      </c>
      <c r="BI42" s="3">
        <f ca="1"/>
        <v>1</v>
      </c>
      <c r="BJ42" s="3">
        <f ca="1"/>
        <v>1</v>
      </c>
      <c r="BK42" s="8">
        <f ca="1"/>
        <v>0.45070920851494067</v>
      </c>
      <c r="BL42" s="3"/>
      <c r="BM42" s="3"/>
      <c r="BN42" s="7">
        <f ca="1"/>
        <v>1</v>
      </c>
      <c r="BO42" s="3">
        <f ca="1"/>
        <v>1</v>
      </c>
      <c r="BP42" s="3">
        <f ca="1"/>
        <v>1</v>
      </c>
      <c r="BQ42" s="3">
        <f ca="1"/>
        <v>0.34958417480323833</v>
      </c>
      <c r="BR42" s="8">
        <f ca="1"/>
        <v>1</v>
      </c>
      <c r="BS42" s="3"/>
      <c r="BU42" s="7">
        <f ca="1"/>
        <v>0</v>
      </c>
      <c r="BV42" s="3">
        <f ca="1"/>
        <v>0.54181176279372867</v>
      </c>
      <c r="BW42" s="3">
        <f ca="1"/>
        <v>0.51168128563951576</v>
      </c>
      <c r="BX42" s="3">
        <f ca="1"/>
        <v>0.29391519553277146</v>
      </c>
      <c r="BY42" s="8">
        <f ca="1"/>
        <v>1</v>
      </c>
      <c r="CA42" s="29"/>
    </row>
    <row r="43" spans="1:79" s="1" customFormat="1" ht="18" customHeight="1" thickBot="1" x14ac:dyDescent="0.25">
      <c r="A43" s="7"/>
      <c r="B43" s="99"/>
      <c r="C43" s="9">
        <v>0.52047149067672216</v>
      </c>
      <c r="D43" s="10">
        <v>1</v>
      </c>
      <c r="E43" s="10">
        <v>1</v>
      </c>
      <c r="F43" s="10">
        <v>1</v>
      </c>
      <c r="G43" s="11">
        <v>0.45070920851494067</v>
      </c>
      <c r="H43" s="3"/>
      <c r="I43" s="3"/>
      <c r="J43" s="9">
        <f ca="1"/>
        <v>0.54181176279372867</v>
      </c>
      <c r="K43" s="10">
        <f ca="1"/>
        <v>0.51168128563951576</v>
      </c>
      <c r="L43" s="10">
        <f ca="1"/>
        <v>0.29391519553277146</v>
      </c>
      <c r="M43" s="10">
        <f ca="1"/>
        <v>1</v>
      </c>
      <c r="N43" s="11">
        <f ca="1"/>
        <v>0.43833469537172365</v>
      </c>
      <c r="O43" s="3"/>
      <c r="P43" s="3"/>
      <c r="Q43" s="9">
        <f ca="1"/>
        <v>0.60426402558797665</v>
      </c>
      <c r="R43" s="10">
        <f ca="1"/>
        <v>1</v>
      </c>
      <c r="S43" s="10">
        <f ca="1"/>
        <v>1</v>
      </c>
      <c r="T43" s="10">
        <f ca="1"/>
        <v>1</v>
      </c>
      <c r="U43" s="11">
        <f ca="1"/>
        <v>0.23057421397337907</v>
      </c>
      <c r="V43" s="3"/>
      <c r="W43" s="3"/>
      <c r="X43" s="9">
        <f ca="1"/>
        <v>0.60426402558797665</v>
      </c>
      <c r="Y43" s="10">
        <f ca="1"/>
        <v>0.15814065272525224</v>
      </c>
      <c r="Z43" s="10">
        <f ca="1"/>
        <v>0.26963243053853292</v>
      </c>
      <c r="AA43" s="10">
        <f ca="1"/>
        <v>0.54181176279372867</v>
      </c>
      <c r="AB43" s="11">
        <f ca="1"/>
        <v>0.52047149067672216</v>
      </c>
      <c r="AC43" s="3"/>
      <c r="AD43" s="3"/>
      <c r="AE43" s="9">
        <f ca="1"/>
        <v>0.64646564781229565</v>
      </c>
      <c r="AF43" s="10">
        <f ca="1"/>
        <v>1</v>
      </c>
      <c r="AG43" s="10">
        <f ca="1"/>
        <v>1</v>
      </c>
      <c r="AH43" s="10">
        <f ca="1"/>
        <v>1</v>
      </c>
      <c r="AI43" s="11">
        <f ca="1"/>
        <v>0.27949565746952015</v>
      </c>
      <c r="AJ43" s="3"/>
      <c r="AK43" s="3"/>
      <c r="AL43" s="9">
        <f ca="1"/>
        <v>0.45070920851494067</v>
      </c>
      <c r="AM43" s="10">
        <f ca="1"/>
        <v>1</v>
      </c>
      <c r="AN43" s="10">
        <f ca="1"/>
        <v>1</v>
      </c>
      <c r="AO43" s="10">
        <f ca="1"/>
        <v>1</v>
      </c>
      <c r="AP43" s="11">
        <f ca="1"/>
        <v>0.52047149067672216</v>
      </c>
      <c r="AQ43" s="3"/>
      <c r="AR43" s="3"/>
      <c r="AS43" s="9">
        <f ca="1"/>
        <v>0.23057421397337907</v>
      </c>
      <c r="AT43" s="10">
        <f ca="1"/>
        <v>1</v>
      </c>
      <c r="AU43" s="10">
        <f ca="1"/>
        <v>1</v>
      </c>
      <c r="AV43" s="10">
        <f ca="1"/>
        <v>1</v>
      </c>
      <c r="AW43" s="11">
        <f ca="1"/>
        <v>0.60426402558797665</v>
      </c>
      <c r="AX43" s="3"/>
      <c r="AY43" s="3"/>
      <c r="AZ43" s="9">
        <f ca="1"/>
        <v>1</v>
      </c>
      <c r="BA43" s="10">
        <f ca="1"/>
        <v>1</v>
      </c>
      <c r="BB43" s="10">
        <f ca="1"/>
        <v>1</v>
      </c>
      <c r="BC43" s="10">
        <f ca="1"/>
        <v>0.45070920851494067</v>
      </c>
      <c r="BD43" s="11">
        <f ca="1"/>
        <v>0</v>
      </c>
      <c r="BE43" s="3"/>
      <c r="BG43" s="9">
        <f ca="1"/>
        <v>0</v>
      </c>
      <c r="BH43" s="10">
        <f ca="1"/>
        <v>0</v>
      </c>
      <c r="BI43" s="10">
        <f ca="1"/>
        <v>0</v>
      </c>
      <c r="BJ43" s="10">
        <f ca="1"/>
        <v>0</v>
      </c>
      <c r="BK43" s="11">
        <f ca="1"/>
        <v>0</v>
      </c>
      <c r="BL43" s="3"/>
      <c r="BM43" s="3"/>
      <c r="BN43" s="9">
        <f ca="1"/>
        <v>0.45070920851494067</v>
      </c>
      <c r="BO43" s="10">
        <f ca="1"/>
        <v>0.43833469537172365</v>
      </c>
      <c r="BP43" s="10">
        <f ca="1"/>
        <v>0.36518621467424861</v>
      </c>
      <c r="BQ43" s="10">
        <f ca="1"/>
        <v>0.51323825156367442</v>
      </c>
      <c r="BR43" s="11">
        <f ca="1"/>
        <v>0.23057421397337907</v>
      </c>
      <c r="BS43" s="3"/>
      <c r="BU43" s="9">
        <f ca="1"/>
        <v>0</v>
      </c>
      <c r="BV43" s="10">
        <f ca="1"/>
        <v>0.52047149067672216</v>
      </c>
      <c r="BW43" s="10">
        <f ca="1"/>
        <v>1</v>
      </c>
      <c r="BX43" s="10">
        <f ca="1"/>
        <v>1</v>
      </c>
      <c r="BY43" s="11">
        <f ca="1"/>
        <v>1</v>
      </c>
      <c r="CA43" s="29"/>
    </row>
    <row r="44" spans="1:79" s="1" customFormat="1" ht="18" customHeight="1" x14ac:dyDescent="0.2">
      <c r="A44" s="7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U44" s="3"/>
      <c r="BV44" s="3"/>
      <c r="BW44" s="3"/>
      <c r="BX44" s="3"/>
      <c r="BY44" s="3"/>
      <c r="CA44" s="29"/>
    </row>
    <row r="45" spans="1:79" s="1" customFormat="1" ht="18" customHeight="1" thickBot="1" x14ac:dyDescent="0.25">
      <c r="A45" s="7"/>
      <c r="B45" s="99">
        <v>6</v>
      </c>
      <c r="C45" s="97" t="s">
        <v>12</v>
      </c>
      <c r="D45" s="97"/>
      <c r="E45" s="97"/>
      <c r="F45" s="97"/>
      <c r="G45" s="97"/>
      <c r="H45" s="28"/>
      <c r="I45" s="3"/>
      <c r="J45" s="97" t="str" cm="1">
        <f t="array" aca="1" ref="J45" ca="1">INDEX(Helper!$E$13:$E$22, OFFSET(Helper!$J$13,$B45,J$2))</f>
        <v>Shift Down</v>
      </c>
      <c r="K45" s="97"/>
      <c r="L45" s="97"/>
      <c r="M45" s="97"/>
      <c r="N45" s="97"/>
      <c r="O45" s="3"/>
      <c r="P45" s="3"/>
      <c r="Q45" s="97" t="str" cm="1">
        <f t="array" aca="1" ref="Q45" ca="1">INDEX(Helper!$E$13:$E$22, OFFSET(Helper!$J$13,$B45,Q$2))</f>
        <v>Noise</v>
      </c>
      <c r="R45" s="97"/>
      <c r="S45" s="97"/>
      <c r="T45" s="97"/>
      <c r="U45" s="97"/>
      <c r="V45" s="3"/>
      <c r="W45" s="3"/>
      <c r="X45" s="97" t="str" cm="1">
        <f t="array" aca="1" ref="X45" ca="1">INDEX(Helper!$E$13:$E$22, OFFSET(Helper!$J$13,$B45,X$2))</f>
        <v>Shift Up</v>
      </c>
      <c r="Y45" s="97"/>
      <c r="Z45" s="97"/>
      <c r="AA45" s="97"/>
      <c r="AB45" s="97"/>
      <c r="AC45" s="3"/>
      <c r="AD45" s="3"/>
      <c r="AE45" s="97" t="str" cm="1">
        <f t="array" aca="1" ref="AE45" ca="1">INDEX(Helper!$E$13:$E$22, OFFSET(Helper!$J$13,$B45,AE$2))</f>
        <v>90 CCW</v>
      </c>
      <c r="AF45" s="97"/>
      <c r="AG45" s="97"/>
      <c r="AH45" s="97"/>
      <c r="AI45" s="97"/>
      <c r="AJ45" s="3"/>
      <c r="AK45" s="3"/>
      <c r="AL45" s="97" t="str" cm="1">
        <f t="array" aca="1" ref="AL45" ca="1">INDEX(Helper!$E$13:$E$22, OFFSET(Helper!$J$13,$B45,AL$2))</f>
        <v>90 CW</v>
      </c>
      <c r="AM45" s="97"/>
      <c r="AN45" s="97"/>
      <c r="AO45" s="97"/>
      <c r="AP45" s="97"/>
      <c r="AQ45" s="3"/>
      <c r="AR45" s="3"/>
      <c r="AS45" s="97" t="str" cm="1">
        <f t="array" aca="1" ref="AS45" ca="1">INDEX(Helper!$E$13:$E$22, OFFSET(Helper!$J$13,$B45,AS$2))</f>
        <v>Shift Right</v>
      </c>
      <c r="AT45" s="97"/>
      <c r="AU45" s="97"/>
      <c r="AV45" s="97"/>
      <c r="AW45" s="97"/>
      <c r="AX45" s="3"/>
      <c r="AY45" s="3"/>
      <c r="AZ45" s="97" t="str" cm="1">
        <f t="array" aca="1" ref="AZ45" ca="1">INDEX(Helper!$E$13:$E$22, OFFSET(Helper!$J$13,$B45,AZ$2))</f>
        <v>Shift Left</v>
      </c>
      <c r="BA45" s="97"/>
      <c r="BB45" s="97"/>
      <c r="BC45" s="97"/>
      <c r="BD45" s="97"/>
      <c r="BE45" s="3"/>
      <c r="BG45" s="97" t="str" cm="1">
        <f t="array" aca="1" ref="BG45" ca="1">INDEX(Helper!$E$13:$E$22, OFFSET(Helper!$J$13,$B45,BG$2))</f>
        <v>Horizontal Flip</v>
      </c>
      <c r="BH45" s="97"/>
      <c r="BI45" s="97"/>
      <c r="BJ45" s="97"/>
      <c r="BK45" s="97"/>
      <c r="BL45" s="3"/>
      <c r="BM45" s="3"/>
      <c r="BN45" s="97" t="str" cm="1">
        <f t="array" aca="1" ref="BN45" ca="1">INDEX(Helper!$E$13:$E$22, OFFSET(Helper!$J$13,$B45,BN$2))</f>
        <v>Vertical Flip</v>
      </c>
      <c r="BO45" s="97"/>
      <c r="BP45" s="97"/>
      <c r="BQ45" s="97"/>
      <c r="BR45" s="97"/>
      <c r="BS45" s="3"/>
      <c r="BU45" s="97" t="str" cm="1">
        <f t="array" aca="1" ref="BU45" ca="1">INDEX(Helper!$E$13:$E$22, OFFSET(Helper!$J$13,$B45,BU$2))</f>
        <v>180 Rotation</v>
      </c>
      <c r="BV45" s="97"/>
      <c r="BW45" s="97"/>
      <c r="BX45" s="97"/>
      <c r="BY45" s="97"/>
      <c r="CA45" s="29"/>
    </row>
    <row r="46" spans="1:79" s="1" customFormat="1" ht="18" customHeight="1" x14ac:dyDescent="0.2">
      <c r="A46" s="7"/>
      <c r="B46" s="99"/>
      <c r="C46" s="4">
        <v>0.27958188501835668</v>
      </c>
      <c r="D46" s="5">
        <v>1</v>
      </c>
      <c r="E46" s="5">
        <v>1</v>
      </c>
      <c r="F46" s="5">
        <v>1</v>
      </c>
      <c r="G46" s="6">
        <v>0.27526416611450932</v>
      </c>
      <c r="H46" s="3"/>
      <c r="I46" s="3"/>
      <c r="J46" s="4" cm="1">
        <f t="array" aca="1" ref="J46:N50" ca="1">_xlfn.IFS(J45="None",  $C46:$G50*0,           J45="Horizontal Flip", INDEX($C46:$G50, _xlfn.SEQUENCE(5), 6 - _xlfn.SEQUENCE(1,5)),        J45="Vertical Flip", INDEX($C46:$G50, 6 - _xlfn.SEQUENCE(5), _xlfn.SEQUENCE(1,5)),      J45="180 Rotation", INDEX($C46:$G50, 6 - _xlfn.SEQUENCE(5), 6 - _xlfn.SEQUENCE(1,5)),        J45="90 CW", INDEX($C46:$G50, 6 - _xlfn.SEQUENCE(1,5), _xlfn.SEQUENCE(5)),          J45="90 CCW", INDEX($C46:$G50, _xlfn.SEQUENCE(1,5), 6 - _xlfn.SEQUENCE(5)),         J45="Shift Up", IF(_xlfn.SEQUENCE(5)+1&lt;=5, INDEX($C46:$G50, _xlfn.SEQUENCE(5)+1, _xlfn.SEQUENCE(1,5)), 0),         J45="Shift Down", IF(_xlfn.SEQUENCE(5)-1&gt;=1, INDEX($C46:$G50, _xlfn.SEQUENCE(5)-1, _xlfn.SEQUENCE(1,5)), 0),         J45="Shift Left",   IF(_xlfn.SEQUENCE(1,5)+1&lt;=5, INDEX($C46:$G50, _xlfn.SEQUENCE(5), _xlfn.SEQUENCE(1,5)+1),0),         J45= "Shift Right",  IF(_xlfn.SEQUENCE(1,5)-1&gt;=1, INDEX($C46:$G50, _xlfn.SEQUENCE(5), _xlfn.SEQUENCE(1,5)-1), 0),        J45="Noise",  _xlfn.MAP($C46:$G50 + (_xlfn.RANDARRAY(ROWS($C46:$G50), COLUMNS($C46:$G50)) - 0.5) * 0.4, _xlfn.LAMBDA(_xlpm.x, MAX(0, MIN(1, _xlpm.x)))))</f>
        <v>0</v>
      </c>
      <c r="K46" s="5">
        <f ca="1"/>
        <v>0</v>
      </c>
      <c r="L46" s="5">
        <f ca="1"/>
        <v>0</v>
      </c>
      <c r="M46" s="5">
        <f ca="1"/>
        <v>0</v>
      </c>
      <c r="N46" s="6">
        <f ca="1"/>
        <v>0</v>
      </c>
      <c r="O46" s="3"/>
      <c r="P46" s="3"/>
      <c r="Q46" s="4" cm="1">
        <f t="array" aca="1" ref="Q46:U50" ca="1">_xlfn.IFS(Q45="None",  $C46:$G50*0,           Q45="Horizontal Flip", INDEX($C46:$G50, _xlfn.SEQUENCE(5), 6 - _xlfn.SEQUENCE(1,5)),        Q45="Vertical Flip", INDEX($C46:$G50, 6 - _xlfn.SEQUENCE(5), _xlfn.SEQUENCE(1,5)),      Q45="180 Rotation", INDEX($C46:$G50, 6 - _xlfn.SEQUENCE(5), 6 - _xlfn.SEQUENCE(1,5)),        Q45="90 CW", INDEX($C46:$G50, 6 - _xlfn.SEQUENCE(1,5), _xlfn.SEQUENCE(5)),          Q45="90 CCW", INDEX($C46:$G50, _xlfn.SEQUENCE(1,5), 6 - _xlfn.SEQUENCE(5)),         Q45="Shift Up", IF(_xlfn.SEQUENCE(5)+1&lt;=5, INDEX($C46:$G50, _xlfn.SEQUENCE(5)+1, _xlfn.SEQUENCE(1,5)), 0),         Q45="Shift Down", IF(_xlfn.SEQUENCE(5)-1&gt;=1, INDEX($C46:$G50, _xlfn.SEQUENCE(5)-1, _xlfn.SEQUENCE(1,5)), 0),         Q45="Shift Left",   IF(_xlfn.SEQUENCE(1,5)+1&lt;=5, INDEX($C46:$G50, _xlfn.SEQUENCE(5), _xlfn.SEQUENCE(1,5)+1),0),         Q45= "Shift Right",  IF(_xlfn.SEQUENCE(1,5)-1&gt;=1, INDEX($C46:$G50, _xlfn.SEQUENCE(5), _xlfn.SEQUENCE(1,5)-1), 0),        Q45="Noise",  _xlfn.MAP($C46:$G50 + (_xlfn.RANDARRAY(ROWS($C46:$G50), COLUMNS($C46:$G50)) - 0.5) * 0.4, _xlfn.LAMBDA(_xlpm.x, MAX(0, MIN(1, _xlpm.x)))))</f>
        <v>0.19974146629247214</v>
      </c>
      <c r="R46" s="5">
        <f ca="1"/>
        <v>0.84077145568473988</v>
      </c>
      <c r="S46" s="5">
        <f ca="1"/>
        <v>0.99082759739868242</v>
      </c>
      <c r="T46" s="5">
        <f ca="1"/>
        <v>0.96724988937634693</v>
      </c>
      <c r="U46" s="6">
        <f ca="1"/>
        <v>0.43049821956612411</v>
      </c>
      <c r="V46" s="3"/>
      <c r="W46" s="3"/>
      <c r="X46" s="4" cm="1">
        <f t="array" aca="1" ref="X46:AB50" ca="1">_xlfn.IFS(X45="None",  $C46:$G50*0,           X45="Horizontal Flip", INDEX($C46:$G50, _xlfn.SEQUENCE(5), 6 - _xlfn.SEQUENCE(1,5)),        X45="Vertical Flip", INDEX($C46:$G50, 6 - _xlfn.SEQUENCE(5), _xlfn.SEQUENCE(1,5)),      X45="180 Rotation", INDEX($C46:$G50, 6 - _xlfn.SEQUENCE(5), 6 - _xlfn.SEQUENCE(1,5)),        X45="90 CW", INDEX($C46:$G50, 6 - _xlfn.SEQUENCE(1,5), _xlfn.SEQUENCE(5)),          X45="90 CCW", INDEX($C46:$G50, _xlfn.SEQUENCE(1,5), 6 - _xlfn.SEQUENCE(5)),         X45="Shift Up", IF(_xlfn.SEQUENCE(5)+1&lt;=5, INDEX($C46:$G50, _xlfn.SEQUENCE(5)+1, _xlfn.SEQUENCE(1,5)), 0),         X45="Shift Down", IF(_xlfn.SEQUENCE(5)-1&gt;=1, INDEX($C46:$G50, _xlfn.SEQUENCE(5)-1, _xlfn.SEQUENCE(1,5)), 0),         X45="Shift Left",   IF(_xlfn.SEQUENCE(1,5)+1&lt;=5, INDEX($C46:$G50, _xlfn.SEQUENCE(5), _xlfn.SEQUENCE(1,5)+1),0),         X45= "Shift Right",  IF(_xlfn.SEQUENCE(1,5)-1&gt;=1, INDEX($C46:$G50, _xlfn.SEQUENCE(5), _xlfn.SEQUENCE(1,5)-1), 0),        X45="Noise",  _xlfn.MAP($C46:$G50 + (_xlfn.RANDARRAY(ROWS($C46:$G50), COLUMNS($C46:$G50)) - 0.5) * 0.4, _xlfn.LAMBDA(_xlpm.x, MAX(0, MIN(1, _xlpm.x)))))</f>
        <v>0.30234757593384964</v>
      </c>
      <c r="Y46" s="5">
        <f ca="1"/>
        <v>1</v>
      </c>
      <c r="Z46" s="5">
        <f ca="1"/>
        <v>0.17677269419232655</v>
      </c>
      <c r="AA46" s="5">
        <f ca="1"/>
        <v>0.61378201105565433</v>
      </c>
      <c r="AB46" s="6">
        <f ca="1"/>
        <v>0.64463313068249883</v>
      </c>
      <c r="AC46" s="3"/>
      <c r="AD46" s="3"/>
      <c r="AE46" s="4" cm="1">
        <f t="array" aca="1" ref="AE46:AI50" ca="1">_xlfn.IFS(AE45="None",  $C46:$G50*0,           AE45="Horizontal Flip", INDEX($C46:$G50, _xlfn.SEQUENCE(5), 6 - _xlfn.SEQUENCE(1,5)),        AE45="Vertical Flip", INDEX($C46:$G50, 6 - _xlfn.SEQUENCE(5), _xlfn.SEQUENCE(1,5)),      AE45="180 Rotation", INDEX($C46:$G50, 6 - _xlfn.SEQUENCE(5), 6 - _xlfn.SEQUENCE(1,5)),        AE45="90 CW", INDEX($C46:$G50, 6 - _xlfn.SEQUENCE(1,5), _xlfn.SEQUENCE(5)),          AE45="90 CCW", INDEX($C46:$G50, _xlfn.SEQUENCE(1,5), 6 - _xlfn.SEQUENCE(5)),         AE45="Shift Up", IF(_xlfn.SEQUENCE(5)+1&lt;=5, INDEX($C46:$G50, _xlfn.SEQUENCE(5)+1, _xlfn.SEQUENCE(1,5)), 0),         AE45="Shift Down", IF(_xlfn.SEQUENCE(5)-1&gt;=1, INDEX($C46:$G50, _xlfn.SEQUENCE(5)-1, _xlfn.SEQUENCE(1,5)), 0),         AE45="Shift Left",   IF(_xlfn.SEQUENCE(1,5)+1&lt;=5, INDEX($C46:$G50, _xlfn.SEQUENCE(5), _xlfn.SEQUENCE(1,5)+1),0),         AE45= "Shift Right",  IF(_xlfn.SEQUENCE(1,5)-1&gt;=1, INDEX($C46:$G50, _xlfn.SEQUENCE(5), _xlfn.SEQUENCE(1,5)-1), 0),        AE45="Noise",  _xlfn.MAP($C46:$G50 + (_xlfn.RANDARRAY(ROWS($C46:$G50), COLUMNS($C46:$G50)) - 0.5) * 0.4, _xlfn.LAMBDA(_xlpm.x, MAX(0, MIN(1, _xlpm.x)))))</f>
        <v>0.27526416611450932</v>
      </c>
      <c r="AF46" s="5">
        <f ca="1"/>
        <v>0.64463313068249883</v>
      </c>
      <c r="AG46" s="5">
        <f ca="1"/>
        <v>0.39771131229128331</v>
      </c>
      <c r="AH46" s="5">
        <f ca="1"/>
        <v>0.54916534251443094</v>
      </c>
      <c r="AI46" s="6">
        <f ca="1"/>
        <v>0.39052718269779463</v>
      </c>
      <c r="AJ46" s="3"/>
      <c r="AK46" s="3"/>
      <c r="AL46" s="4" cm="1">
        <f t="array" aca="1" ref="AL46:AP50" ca="1">_xlfn.IFS(AL45="None",  $C46:$G50*0,           AL45="Horizontal Flip", INDEX($C46:$G50, _xlfn.SEQUENCE(5), 6 - _xlfn.SEQUENCE(1,5)),        AL45="Vertical Flip", INDEX($C46:$G50, 6 - _xlfn.SEQUENCE(5), _xlfn.SEQUENCE(1,5)),      AL45="180 Rotation", INDEX($C46:$G50, 6 - _xlfn.SEQUENCE(5), 6 - _xlfn.SEQUENCE(1,5)),        AL45="90 CW", INDEX($C46:$G50, 6 - _xlfn.SEQUENCE(1,5), _xlfn.SEQUENCE(5)),          AL45="90 CCW", INDEX($C46:$G50, _xlfn.SEQUENCE(1,5), 6 - _xlfn.SEQUENCE(5)),         AL45="Shift Up", IF(_xlfn.SEQUENCE(5)+1&lt;=5, INDEX($C46:$G50, _xlfn.SEQUENCE(5)+1, _xlfn.SEQUENCE(1,5)), 0),         AL45="Shift Down", IF(_xlfn.SEQUENCE(5)-1&gt;=1, INDEX($C46:$G50, _xlfn.SEQUENCE(5)-1, _xlfn.SEQUENCE(1,5)), 0),         AL45="Shift Left",   IF(_xlfn.SEQUENCE(1,5)+1&lt;=5, INDEX($C46:$G50, _xlfn.SEQUENCE(5), _xlfn.SEQUENCE(1,5)+1),0),         AL45= "Shift Right",  IF(_xlfn.SEQUENCE(1,5)-1&gt;=1, INDEX($C46:$G50, _xlfn.SEQUENCE(5), _xlfn.SEQUENCE(1,5)-1), 0),        AL45="Noise",  _xlfn.MAP($C46:$G50 + (_xlfn.RANDARRAY(ROWS($C46:$G50), COLUMNS($C46:$G50)) - 0.5) * 0.4, _xlfn.LAMBDA(_xlpm.x, MAX(0, MIN(1, _xlpm.x)))))</f>
        <v>0.26989579754738691</v>
      </c>
      <c r="AM46" s="5">
        <f ca="1"/>
        <v>0.35415212537187357</v>
      </c>
      <c r="AN46" s="5">
        <f ca="1"/>
        <v>0.41492783228954788</v>
      </c>
      <c r="AO46" s="5">
        <f ca="1"/>
        <v>0.30234757593384964</v>
      </c>
      <c r="AP46" s="6">
        <f ca="1"/>
        <v>0.27958188501835668</v>
      </c>
      <c r="AQ46" s="3"/>
      <c r="AR46" s="3"/>
      <c r="AS46" s="4" cm="1">
        <f t="array" aca="1" ref="AS46:AW50" ca="1">_xlfn.IFS(AS45="None",  $C46:$G50*0,           AS45="Horizontal Flip", INDEX($C46:$G50, _xlfn.SEQUENCE(5), 6 - _xlfn.SEQUENCE(1,5)),        AS45="Vertical Flip", INDEX($C46:$G50, 6 - _xlfn.SEQUENCE(5), _xlfn.SEQUENCE(1,5)),      AS45="180 Rotation", INDEX($C46:$G50, 6 - _xlfn.SEQUENCE(5), 6 - _xlfn.SEQUENCE(1,5)),        AS45="90 CW", INDEX($C46:$G50, 6 - _xlfn.SEQUENCE(1,5), _xlfn.SEQUENCE(5)),          AS45="90 CCW", INDEX($C46:$G50, _xlfn.SEQUENCE(1,5), 6 - _xlfn.SEQUENCE(5)),         AS45="Shift Up", IF(_xlfn.SEQUENCE(5)+1&lt;=5, INDEX($C46:$G50, _xlfn.SEQUENCE(5)+1, _xlfn.SEQUENCE(1,5)), 0),         AS45="Shift Down", IF(_xlfn.SEQUENCE(5)-1&gt;=1, INDEX($C46:$G50, _xlfn.SEQUENCE(5)-1, _xlfn.SEQUENCE(1,5)), 0),         AS45="Shift Left",   IF(_xlfn.SEQUENCE(1,5)+1&lt;=5, INDEX($C46:$G50, _xlfn.SEQUENCE(5), _xlfn.SEQUENCE(1,5)+1),0),         AS45= "Shift Right",  IF(_xlfn.SEQUENCE(1,5)-1&gt;=1, INDEX($C46:$G50, _xlfn.SEQUENCE(5), _xlfn.SEQUENCE(1,5)-1), 0),        AS45="Noise",  _xlfn.MAP($C46:$G50 + (_xlfn.RANDARRAY(ROWS($C46:$G50), COLUMNS($C46:$G50)) - 0.5) * 0.4, _xlfn.LAMBDA(_xlpm.x, MAX(0, MIN(1, _xlpm.x)))))</f>
        <v>0</v>
      </c>
      <c r="AT46" s="5">
        <f ca="1"/>
        <v>0.27958188501835668</v>
      </c>
      <c r="AU46" s="5">
        <f ca="1"/>
        <v>1</v>
      </c>
      <c r="AV46" s="5">
        <f ca="1"/>
        <v>1</v>
      </c>
      <c r="AW46" s="6">
        <f ca="1"/>
        <v>1</v>
      </c>
      <c r="AX46" s="3"/>
      <c r="AY46" s="3"/>
      <c r="AZ46" s="4" cm="1">
        <f t="array" aca="1" ref="AZ46:BD50" ca="1">_xlfn.IFS(AZ45="None",  $C46:$G50*0,           AZ45="Horizontal Flip", INDEX($C46:$G50, _xlfn.SEQUENCE(5), 6 - _xlfn.SEQUENCE(1,5)),        AZ45="Vertical Flip", INDEX($C46:$G50, 6 - _xlfn.SEQUENCE(5), _xlfn.SEQUENCE(1,5)),      AZ45="180 Rotation", INDEX($C46:$G50, 6 - _xlfn.SEQUENCE(5), 6 - _xlfn.SEQUENCE(1,5)),        AZ45="90 CW", INDEX($C46:$G50, 6 - _xlfn.SEQUENCE(1,5), _xlfn.SEQUENCE(5)),          AZ45="90 CCW", INDEX($C46:$G50, _xlfn.SEQUENCE(1,5), 6 - _xlfn.SEQUENCE(5)),         AZ45="Shift Up", IF(_xlfn.SEQUENCE(5)+1&lt;=5, INDEX($C46:$G50, _xlfn.SEQUENCE(5)+1, _xlfn.SEQUENCE(1,5)), 0),         AZ45="Shift Down", IF(_xlfn.SEQUENCE(5)-1&gt;=1, INDEX($C46:$G50, _xlfn.SEQUENCE(5)-1, _xlfn.SEQUENCE(1,5)), 0),         AZ45="Shift Left",   IF(_xlfn.SEQUENCE(1,5)+1&lt;=5, INDEX($C46:$G50, _xlfn.SEQUENCE(5), _xlfn.SEQUENCE(1,5)+1),0),         AZ45= "Shift Right",  IF(_xlfn.SEQUENCE(1,5)-1&gt;=1, INDEX($C46:$G50, _xlfn.SEQUENCE(5), _xlfn.SEQUENCE(1,5)-1), 0),        AZ45="Noise",  _xlfn.MAP($C46:$G50 + (_xlfn.RANDARRAY(ROWS($C46:$G50), COLUMNS($C46:$G50)) - 0.5) * 0.4, _xlfn.LAMBDA(_xlpm.x, MAX(0, MIN(1, _xlpm.x)))))</f>
        <v>1</v>
      </c>
      <c r="BA46" s="5">
        <f ca="1"/>
        <v>1</v>
      </c>
      <c r="BB46" s="5">
        <f ca="1"/>
        <v>1</v>
      </c>
      <c r="BC46" s="5">
        <f ca="1"/>
        <v>0.27526416611450932</v>
      </c>
      <c r="BD46" s="6">
        <f ca="1"/>
        <v>0</v>
      </c>
      <c r="BE46" s="3"/>
      <c r="BG46" s="4" cm="1">
        <f t="array" aca="1" ref="BG46:BK50" ca="1">_xlfn.IFS(BG45="None",  $C46:$G50*0,           BG45="Horizontal Flip", INDEX($C46:$G50, _xlfn.SEQUENCE(5), 6 - _xlfn.SEQUENCE(1,5)),        BG45="Vertical Flip", INDEX($C46:$G50, 6 - _xlfn.SEQUENCE(5), _xlfn.SEQUENCE(1,5)),      BG45="180 Rotation", INDEX($C46:$G50, 6 - _xlfn.SEQUENCE(5), 6 - _xlfn.SEQUENCE(1,5)),        BG45="90 CW", INDEX($C46:$G50, 6 - _xlfn.SEQUENCE(1,5), _xlfn.SEQUENCE(5)),          BG45="90 CCW", INDEX($C46:$G50, _xlfn.SEQUENCE(1,5), 6 - _xlfn.SEQUENCE(5)),         BG45="Shift Up", IF(_xlfn.SEQUENCE(5)+1&lt;=5, INDEX($C46:$G50, _xlfn.SEQUENCE(5)+1, _xlfn.SEQUENCE(1,5)), 0),         BG45="Shift Down", IF(_xlfn.SEQUENCE(5)-1&gt;=1, INDEX($C46:$G50, _xlfn.SEQUENCE(5)-1, _xlfn.SEQUENCE(1,5)), 0),         BG45="Shift Left",   IF(_xlfn.SEQUENCE(1,5)+1&lt;=5, INDEX($C46:$G50, _xlfn.SEQUENCE(5), _xlfn.SEQUENCE(1,5)+1),0),         BG45= "Shift Right",  IF(_xlfn.SEQUENCE(1,5)-1&gt;=1, INDEX($C46:$G50, _xlfn.SEQUENCE(5), _xlfn.SEQUENCE(1,5)-1), 0),        BG45="Noise",  _xlfn.MAP($C46:$G50 + (_xlfn.RANDARRAY(ROWS($C46:$G50), COLUMNS($C46:$G50)) - 0.5) * 0.4, _xlfn.LAMBDA(_xlpm.x, MAX(0, MIN(1, _xlpm.x)))))</f>
        <v>0.27526416611450932</v>
      </c>
      <c r="BH46" s="5">
        <f ca="1"/>
        <v>1</v>
      </c>
      <c r="BI46" s="5">
        <f ca="1"/>
        <v>1</v>
      </c>
      <c r="BJ46" s="5">
        <f ca="1"/>
        <v>1</v>
      </c>
      <c r="BK46" s="6">
        <f ca="1"/>
        <v>0.27958188501835668</v>
      </c>
      <c r="BL46" s="3"/>
      <c r="BM46" s="3"/>
      <c r="BN46" s="4" cm="1">
        <f t="array" aca="1" ref="BN46:BR50" ca="1">_xlfn.IFS(BN45="None",  $C46:$G50*0,           BN45="Horizontal Flip", INDEX($C46:$G50, _xlfn.SEQUENCE(5), 6 - _xlfn.SEQUENCE(1,5)),        BN45="Vertical Flip", INDEX($C46:$G50, 6 - _xlfn.SEQUENCE(5), _xlfn.SEQUENCE(1,5)),      BN45="180 Rotation", INDEX($C46:$G50, 6 - _xlfn.SEQUENCE(5), 6 - _xlfn.SEQUENCE(1,5)),        BN45="90 CW", INDEX($C46:$G50, 6 - _xlfn.SEQUENCE(1,5), _xlfn.SEQUENCE(5)),          BN45="90 CCW", INDEX($C46:$G50, _xlfn.SEQUENCE(1,5), 6 - _xlfn.SEQUENCE(5)),         BN45="Shift Up", IF(_xlfn.SEQUENCE(5)+1&lt;=5, INDEX($C46:$G50, _xlfn.SEQUENCE(5)+1, _xlfn.SEQUENCE(1,5)), 0),         BN45="Shift Down", IF(_xlfn.SEQUENCE(5)-1&gt;=1, INDEX($C46:$G50, _xlfn.SEQUENCE(5)-1, _xlfn.SEQUENCE(1,5)), 0),         BN45="Shift Left",   IF(_xlfn.SEQUENCE(1,5)+1&lt;=5, INDEX($C46:$G50, _xlfn.SEQUENCE(5), _xlfn.SEQUENCE(1,5)+1),0),         BN45= "Shift Right",  IF(_xlfn.SEQUENCE(1,5)-1&gt;=1, INDEX($C46:$G50, _xlfn.SEQUENCE(5), _xlfn.SEQUENCE(1,5)-1), 0),        BN45="Noise",  _xlfn.MAP($C46:$G50 + (_xlfn.RANDARRAY(ROWS($C46:$G50), COLUMNS($C46:$G50)) - 0.5) * 0.4, _xlfn.LAMBDA(_xlpm.x, MAX(0, MIN(1, _xlpm.x)))))</f>
        <v>0.26989579754738691</v>
      </c>
      <c r="BO46" s="5">
        <f ca="1"/>
        <v>1</v>
      </c>
      <c r="BP46" s="5">
        <f ca="1"/>
        <v>1</v>
      </c>
      <c r="BQ46" s="5">
        <f ca="1"/>
        <v>1</v>
      </c>
      <c r="BR46" s="6">
        <f ca="1"/>
        <v>0.39052718269779463</v>
      </c>
      <c r="BS46" s="3"/>
      <c r="BU46" s="4" cm="1">
        <f t="array" aca="1" ref="BU46:BY50" ca="1">_xlfn.IFS(BU45="None",  $C46:$G50*0,           BU45="Horizontal Flip", INDEX($C46:$G50, _xlfn.SEQUENCE(5), 6 - _xlfn.SEQUENCE(1,5)),        BU45="Vertical Flip", INDEX($C46:$G50, 6 - _xlfn.SEQUENCE(5), _xlfn.SEQUENCE(1,5)),      BU45="180 Rotation", INDEX($C46:$G50, 6 - _xlfn.SEQUENCE(5), 6 - _xlfn.SEQUENCE(1,5)),        BU45="90 CW", INDEX($C46:$G50, 6 - _xlfn.SEQUENCE(1,5), _xlfn.SEQUENCE(5)),          BU45="90 CCW", INDEX($C46:$G50, _xlfn.SEQUENCE(1,5), 6 - _xlfn.SEQUENCE(5)),         BU45="Shift Up", IF(_xlfn.SEQUENCE(5)+1&lt;=5, INDEX($C46:$G50, _xlfn.SEQUENCE(5)+1, _xlfn.SEQUENCE(1,5)), 0),         BU45="Shift Down", IF(_xlfn.SEQUENCE(5)-1&gt;=1, INDEX($C46:$G50, _xlfn.SEQUENCE(5)-1, _xlfn.SEQUENCE(1,5)), 0),         BU45="Shift Left",   IF(_xlfn.SEQUENCE(1,5)+1&lt;=5, INDEX($C46:$G50, _xlfn.SEQUENCE(5), _xlfn.SEQUENCE(1,5)+1),0),         BU45= "Shift Right",  IF(_xlfn.SEQUENCE(1,5)-1&gt;=1, INDEX($C46:$G50, _xlfn.SEQUENCE(5), _xlfn.SEQUENCE(1,5)-1), 0),        BU45="Noise",  _xlfn.MAP($C46:$G50 + (_xlfn.RANDARRAY(ROWS($C46:$G50), COLUMNS($C46:$G50)) - 0.5) * 0.4, _xlfn.LAMBDA(_xlpm.x, MAX(0, MIN(1, _xlpm.x)))))</f>
        <v>0.39052718269779463</v>
      </c>
      <c r="BV46" s="5">
        <f ca="1"/>
        <v>1</v>
      </c>
      <c r="BW46" s="5">
        <f ca="1"/>
        <v>1</v>
      </c>
      <c r="BX46" s="5">
        <f ca="1"/>
        <v>1</v>
      </c>
      <c r="BY46" s="6">
        <f ca="1"/>
        <v>0.26989579754738691</v>
      </c>
      <c r="CA46" s="29"/>
    </row>
    <row r="47" spans="1:79" s="1" customFormat="1" ht="18" customHeight="1" x14ac:dyDescent="0.2">
      <c r="A47" s="7"/>
      <c r="B47" s="99"/>
      <c r="C47" s="7">
        <v>0.30234757593384964</v>
      </c>
      <c r="D47" s="3">
        <v>1</v>
      </c>
      <c r="E47" s="3">
        <v>0.17677269419232655</v>
      </c>
      <c r="F47" s="3">
        <v>0.61378201105565433</v>
      </c>
      <c r="G47" s="8">
        <v>0.64463313068249883</v>
      </c>
      <c r="H47" s="3"/>
      <c r="I47" s="3"/>
      <c r="J47" s="7">
        <f ca="1"/>
        <v>0.27958188501835668</v>
      </c>
      <c r="K47" s="3">
        <f ca="1"/>
        <v>1</v>
      </c>
      <c r="L47" s="3">
        <f ca="1"/>
        <v>1</v>
      </c>
      <c r="M47" s="3">
        <f ca="1"/>
        <v>1</v>
      </c>
      <c r="N47" s="8">
        <f ca="1"/>
        <v>0.27526416611450932</v>
      </c>
      <c r="O47" s="3"/>
      <c r="P47" s="3"/>
      <c r="Q47" s="7">
        <f ca="1"/>
        <v>0.28557612903253277</v>
      </c>
      <c r="R47" s="3">
        <f ca="1"/>
        <v>1</v>
      </c>
      <c r="S47" s="3">
        <f ca="1"/>
        <v>0.15687845177421658</v>
      </c>
      <c r="T47" s="3">
        <f ca="1"/>
        <v>0.43661659007724102</v>
      </c>
      <c r="U47" s="8">
        <f ca="1"/>
        <v>0.6079056263064595</v>
      </c>
      <c r="V47" s="3"/>
      <c r="W47" s="3"/>
      <c r="X47" s="7">
        <f ca="1"/>
        <v>0.41492783228954788</v>
      </c>
      <c r="Y47" s="3">
        <f ca="1"/>
        <v>1</v>
      </c>
      <c r="Z47" s="3">
        <f ca="1"/>
        <v>1</v>
      </c>
      <c r="AA47" s="3">
        <f ca="1"/>
        <v>1</v>
      </c>
      <c r="AB47" s="8">
        <f ca="1"/>
        <v>0.39771131229128331</v>
      </c>
      <c r="AC47" s="3"/>
      <c r="AD47" s="3"/>
      <c r="AE47" s="7">
        <f ca="1"/>
        <v>1</v>
      </c>
      <c r="AF47" s="3">
        <f ca="1"/>
        <v>0.61378201105565433</v>
      </c>
      <c r="AG47" s="3">
        <f ca="1"/>
        <v>1</v>
      </c>
      <c r="AH47" s="3">
        <f ca="1"/>
        <v>1</v>
      </c>
      <c r="AI47" s="8">
        <f ca="1"/>
        <v>1</v>
      </c>
      <c r="AJ47" s="3"/>
      <c r="AK47" s="3"/>
      <c r="AL47" s="7">
        <f ca="1"/>
        <v>1</v>
      </c>
      <c r="AM47" s="3">
        <f ca="1"/>
        <v>1</v>
      </c>
      <c r="AN47" s="3">
        <f ca="1"/>
        <v>1</v>
      </c>
      <c r="AO47" s="3">
        <f ca="1"/>
        <v>1</v>
      </c>
      <c r="AP47" s="8">
        <f ca="1"/>
        <v>1</v>
      </c>
      <c r="AQ47" s="3"/>
      <c r="AR47" s="3"/>
      <c r="AS47" s="7">
        <f ca="1"/>
        <v>0</v>
      </c>
      <c r="AT47" s="3">
        <f ca="1"/>
        <v>0.30234757593384964</v>
      </c>
      <c r="AU47" s="3">
        <f ca="1"/>
        <v>1</v>
      </c>
      <c r="AV47" s="3">
        <f ca="1"/>
        <v>0.17677269419232655</v>
      </c>
      <c r="AW47" s="8">
        <f ca="1"/>
        <v>0.61378201105565433</v>
      </c>
      <c r="AX47" s="3"/>
      <c r="AY47" s="3"/>
      <c r="AZ47" s="7">
        <f ca="1"/>
        <v>1</v>
      </c>
      <c r="BA47" s="3">
        <f ca="1"/>
        <v>0.17677269419232655</v>
      </c>
      <c r="BB47" s="3">
        <f ca="1"/>
        <v>0.61378201105565433</v>
      </c>
      <c r="BC47" s="3">
        <f ca="1"/>
        <v>0.64463313068249883</v>
      </c>
      <c r="BD47" s="8">
        <f ca="1"/>
        <v>0</v>
      </c>
      <c r="BE47" s="3"/>
      <c r="BG47" s="7">
        <f ca="1"/>
        <v>0.64463313068249883</v>
      </c>
      <c r="BH47" s="3">
        <f ca="1"/>
        <v>0.61378201105565433</v>
      </c>
      <c r="BI47" s="3">
        <f ca="1"/>
        <v>0.17677269419232655</v>
      </c>
      <c r="BJ47" s="3">
        <f ca="1"/>
        <v>1</v>
      </c>
      <c r="BK47" s="8">
        <f ca="1"/>
        <v>0.30234757593384964</v>
      </c>
      <c r="BL47" s="3"/>
      <c r="BM47" s="3"/>
      <c r="BN47" s="7">
        <f ca="1"/>
        <v>0.35415212537187357</v>
      </c>
      <c r="BO47" s="3">
        <f ca="1"/>
        <v>1</v>
      </c>
      <c r="BP47" s="3">
        <f ca="1"/>
        <v>0.45663546032593905</v>
      </c>
      <c r="BQ47" s="3">
        <f ca="1"/>
        <v>1</v>
      </c>
      <c r="BR47" s="8">
        <f ca="1"/>
        <v>0.54916534251443094</v>
      </c>
      <c r="BS47" s="3"/>
      <c r="BU47" s="7">
        <f ca="1"/>
        <v>0.54916534251443094</v>
      </c>
      <c r="BV47" s="3">
        <f ca="1"/>
        <v>1</v>
      </c>
      <c r="BW47" s="3">
        <f ca="1"/>
        <v>0.45663546032593905</v>
      </c>
      <c r="BX47" s="3">
        <f ca="1"/>
        <v>1</v>
      </c>
      <c r="BY47" s="8">
        <f ca="1"/>
        <v>0.35415212537187357</v>
      </c>
      <c r="CA47" s="29"/>
    </row>
    <row r="48" spans="1:79" s="1" customFormat="1" ht="18" customHeight="1" x14ac:dyDescent="0.2">
      <c r="A48" s="7"/>
      <c r="B48" s="99"/>
      <c r="C48" s="7">
        <v>0.41492783228954788</v>
      </c>
      <c r="D48" s="3">
        <v>1</v>
      </c>
      <c r="E48" s="3">
        <v>1</v>
      </c>
      <c r="F48" s="3">
        <v>1</v>
      </c>
      <c r="G48" s="8">
        <v>0.39771131229128331</v>
      </c>
      <c r="H48" s="3"/>
      <c r="I48" s="3"/>
      <c r="J48" s="7">
        <f ca="1"/>
        <v>0.30234757593384964</v>
      </c>
      <c r="K48" s="3">
        <f ca="1"/>
        <v>1</v>
      </c>
      <c r="L48" s="3">
        <f ca="1"/>
        <v>0.17677269419232655</v>
      </c>
      <c r="M48" s="3">
        <f ca="1"/>
        <v>0.61378201105565433</v>
      </c>
      <c r="N48" s="8">
        <f ca="1"/>
        <v>0.64463313068249883</v>
      </c>
      <c r="O48" s="3"/>
      <c r="P48" s="3"/>
      <c r="Q48" s="7">
        <f ca="1"/>
        <v>0.4384844222669293</v>
      </c>
      <c r="R48" s="3">
        <f ca="1"/>
        <v>1</v>
      </c>
      <c r="S48" s="3">
        <f ca="1"/>
        <v>0.84014367592287353</v>
      </c>
      <c r="T48" s="3">
        <f ca="1"/>
        <v>1</v>
      </c>
      <c r="U48" s="8">
        <f ca="1"/>
        <v>0.28220639840788081</v>
      </c>
      <c r="V48" s="3"/>
      <c r="W48" s="3"/>
      <c r="X48" s="7">
        <f ca="1"/>
        <v>0.35415212537187357</v>
      </c>
      <c r="Y48" s="3">
        <f ca="1"/>
        <v>1</v>
      </c>
      <c r="Z48" s="3">
        <f ca="1"/>
        <v>0.45663546032593905</v>
      </c>
      <c r="AA48" s="3">
        <f ca="1"/>
        <v>1</v>
      </c>
      <c r="AB48" s="8">
        <f ca="1"/>
        <v>0.54916534251443094</v>
      </c>
      <c r="AC48" s="3"/>
      <c r="AD48" s="3"/>
      <c r="AE48" s="7">
        <f ca="1"/>
        <v>1</v>
      </c>
      <c r="AF48" s="3">
        <f ca="1"/>
        <v>0.17677269419232655</v>
      </c>
      <c r="AG48" s="3">
        <f ca="1"/>
        <v>1</v>
      </c>
      <c r="AH48" s="3">
        <f ca="1"/>
        <v>0.45663546032593905</v>
      </c>
      <c r="AI48" s="8">
        <f ca="1"/>
        <v>1</v>
      </c>
      <c r="AJ48" s="3"/>
      <c r="AK48" s="3"/>
      <c r="AL48" s="7">
        <f ca="1"/>
        <v>1</v>
      </c>
      <c r="AM48" s="3">
        <f ca="1"/>
        <v>0.45663546032593905</v>
      </c>
      <c r="AN48" s="3">
        <f ca="1"/>
        <v>1</v>
      </c>
      <c r="AO48" s="3">
        <f ca="1"/>
        <v>0.17677269419232655</v>
      </c>
      <c r="AP48" s="8">
        <f ca="1"/>
        <v>1</v>
      </c>
      <c r="AQ48" s="3"/>
      <c r="AR48" s="3"/>
      <c r="AS48" s="7">
        <f ca="1"/>
        <v>0</v>
      </c>
      <c r="AT48" s="3">
        <f ca="1"/>
        <v>0.41492783228954788</v>
      </c>
      <c r="AU48" s="3">
        <f ca="1"/>
        <v>1</v>
      </c>
      <c r="AV48" s="3">
        <f ca="1"/>
        <v>1</v>
      </c>
      <c r="AW48" s="8">
        <f ca="1"/>
        <v>1</v>
      </c>
      <c r="AX48" s="3"/>
      <c r="AY48" s="3"/>
      <c r="AZ48" s="7">
        <f ca="1"/>
        <v>1</v>
      </c>
      <c r="BA48" s="3">
        <f ca="1"/>
        <v>1</v>
      </c>
      <c r="BB48" s="3">
        <f ca="1"/>
        <v>1</v>
      </c>
      <c r="BC48" s="3">
        <f ca="1"/>
        <v>0.39771131229128331</v>
      </c>
      <c r="BD48" s="8">
        <f ca="1"/>
        <v>0</v>
      </c>
      <c r="BE48" s="3"/>
      <c r="BG48" s="7">
        <f ca="1"/>
        <v>0.39771131229128331</v>
      </c>
      <c r="BH48" s="3">
        <f ca="1"/>
        <v>1</v>
      </c>
      <c r="BI48" s="3">
        <f ca="1"/>
        <v>1</v>
      </c>
      <c r="BJ48" s="3">
        <f ca="1"/>
        <v>1</v>
      </c>
      <c r="BK48" s="8">
        <f ca="1"/>
        <v>0.41492783228954788</v>
      </c>
      <c r="BL48" s="3"/>
      <c r="BM48" s="3"/>
      <c r="BN48" s="7">
        <f ca="1"/>
        <v>0.41492783228954788</v>
      </c>
      <c r="BO48" s="3">
        <f ca="1"/>
        <v>1</v>
      </c>
      <c r="BP48" s="3">
        <f ca="1"/>
        <v>1</v>
      </c>
      <c r="BQ48" s="3">
        <f ca="1"/>
        <v>1</v>
      </c>
      <c r="BR48" s="8">
        <f ca="1"/>
        <v>0.39771131229128331</v>
      </c>
      <c r="BS48" s="3"/>
      <c r="BU48" s="7">
        <f ca="1"/>
        <v>0.39771131229128331</v>
      </c>
      <c r="BV48" s="3">
        <f ca="1"/>
        <v>1</v>
      </c>
      <c r="BW48" s="3">
        <f ca="1"/>
        <v>1</v>
      </c>
      <c r="BX48" s="3">
        <f ca="1"/>
        <v>1</v>
      </c>
      <c r="BY48" s="8">
        <f ca="1"/>
        <v>0.41492783228954788</v>
      </c>
      <c r="CA48" s="29"/>
    </row>
    <row r="49" spans="1:79" s="1" customFormat="1" ht="18" customHeight="1" x14ac:dyDescent="0.2">
      <c r="A49" s="7"/>
      <c r="B49" s="99"/>
      <c r="C49" s="7">
        <v>0.35415212537187357</v>
      </c>
      <c r="D49" s="3">
        <v>1</v>
      </c>
      <c r="E49" s="3">
        <v>0.45663546032593905</v>
      </c>
      <c r="F49" s="3">
        <v>1</v>
      </c>
      <c r="G49" s="8">
        <v>0.54916534251443094</v>
      </c>
      <c r="H49" s="3"/>
      <c r="I49" s="3"/>
      <c r="J49" s="7">
        <f ca="1"/>
        <v>0.41492783228954788</v>
      </c>
      <c r="K49" s="3">
        <f ca="1"/>
        <v>1</v>
      </c>
      <c r="L49" s="3">
        <f ca="1"/>
        <v>1</v>
      </c>
      <c r="M49" s="3">
        <f ca="1"/>
        <v>1</v>
      </c>
      <c r="N49" s="8">
        <f ca="1"/>
        <v>0.39771131229128331</v>
      </c>
      <c r="O49" s="3"/>
      <c r="P49" s="3"/>
      <c r="Q49" s="7">
        <f ca="1"/>
        <v>0.34948320813669559</v>
      </c>
      <c r="R49" s="3">
        <f ca="1"/>
        <v>1</v>
      </c>
      <c r="S49" s="3">
        <f ca="1"/>
        <v>0.57618397501218621</v>
      </c>
      <c r="T49" s="3">
        <f ca="1"/>
        <v>1</v>
      </c>
      <c r="U49" s="8">
        <f ca="1"/>
        <v>0.54485993753221706</v>
      </c>
      <c r="V49" s="3"/>
      <c r="W49" s="3"/>
      <c r="X49" s="7">
        <f ca="1"/>
        <v>0.26989579754738691</v>
      </c>
      <c r="Y49" s="3">
        <f ca="1"/>
        <v>1</v>
      </c>
      <c r="Z49" s="3">
        <f ca="1"/>
        <v>1</v>
      </c>
      <c r="AA49" s="3">
        <f ca="1"/>
        <v>1</v>
      </c>
      <c r="AB49" s="8">
        <f ca="1"/>
        <v>0.39052718269779463</v>
      </c>
      <c r="AC49" s="3"/>
      <c r="AD49" s="3"/>
      <c r="AE49" s="7">
        <f ca="1"/>
        <v>1</v>
      </c>
      <c r="AF49" s="3">
        <f ca="1"/>
        <v>1</v>
      </c>
      <c r="AG49" s="3">
        <f ca="1"/>
        <v>1</v>
      </c>
      <c r="AH49" s="3">
        <f ca="1"/>
        <v>1</v>
      </c>
      <c r="AI49" s="8">
        <f ca="1"/>
        <v>1</v>
      </c>
      <c r="AJ49" s="3"/>
      <c r="AK49" s="3"/>
      <c r="AL49" s="7">
        <f ca="1"/>
        <v>1</v>
      </c>
      <c r="AM49" s="3">
        <f ca="1"/>
        <v>1</v>
      </c>
      <c r="AN49" s="3">
        <f ca="1"/>
        <v>1</v>
      </c>
      <c r="AO49" s="3">
        <f ca="1"/>
        <v>0.61378201105565433</v>
      </c>
      <c r="AP49" s="8">
        <f ca="1"/>
        <v>1</v>
      </c>
      <c r="AQ49" s="3"/>
      <c r="AR49" s="3"/>
      <c r="AS49" s="7">
        <f ca="1"/>
        <v>0</v>
      </c>
      <c r="AT49" s="3">
        <f ca="1"/>
        <v>0.35415212537187357</v>
      </c>
      <c r="AU49" s="3">
        <f ca="1"/>
        <v>1</v>
      </c>
      <c r="AV49" s="3">
        <f ca="1"/>
        <v>0.45663546032593905</v>
      </c>
      <c r="AW49" s="8">
        <f ca="1"/>
        <v>1</v>
      </c>
      <c r="AX49" s="3"/>
      <c r="AY49" s="3"/>
      <c r="AZ49" s="7">
        <f ca="1"/>
        <v>1</v>
      </c>
      <c r="BA49" s="3">
        <f ca="1"/>
        <v>0.45663546032593905</v>
      </c>
      <c r="BB49" s="3">
        <f ca="1"/>
        <v>1</v>
      </c>
      <c r="BC49" s="3">
        <f ca="1"/>
        <v>0.54916534251443094</v>
      </c>
      <c r="BD49" s="8">
        <f ca="1"/>
        <v>0</v>
      </c>
      <c r="BE49" s="3"/>
      <c r="BG49" s="7">
        <f ca="1"/>
        <v>0.54916534251443094</v>
      </c>
      <c r="BH49" s="3">
        <f ca="1"/>
        <v>1</v>
      </c>
      <c r="BI49" s="3">
        <f ca="1"/>
        <v>0.45663546032593905</v>
      </c>
      <c r="BJ49" s="3">
        <f ca="1"/>
        <v>1</v>
      </c>
      <c r="BK49" s="8">
        <f ca="1"/>
        <v>0.35415212537187357</v>
      </c>
      <c r="BL49" s="3"/>
      <c r="BM49" s="3"/>
      <c r="BN49" s="7">
        <f ca="1"/>
        <v>0.30234757593384964</v>
      </c>
      <c r="BO49" s="3">
        <f ca="1"/>
        <v>1</v>
      </c>
      <c r="BP49" s="3">
        <f ca="1"/>
        <v>0.17677269419232655</v>
      </c>
      <c r="BQ49" s="3">
        <f ca="1"/>
        <v>0.61378201105565433</v>
      </c>
      <c r="BR49" s="8">
        <f ca="1"/>
        <v>0.64463313068249883</v>
      </c>
      <c r="BS49" s="3"/>
      <c r="BU49" s="7">
        <f ca="1"/>
        <v>0.64463313068249883</v>
      </c>
      <c r="BV49" s="3">
        <f ca="1"/>
        <v>0.61378201105565433</v>
      </c>
      <c r="BW49" s="3">
        <f ca="1"/>
        <v>0.17677269419232655</v>
      </c>
      <c r="BX49" s="3">
        <f ca="1"/>
        <v>1</v>
      </c>
      <c r="BY49" s="8">
        <f ca="1"/>
        <v>0.30234757593384964</v>
      </c>
      <c r="CA49" s="29"/>
    </row>
    <row r="50" spans="1:79" s="1" customFormat="1" ht="18" customHeight="1" thickBot="1" x14ac:dyDescent="0.25">
      <c r="A50" s="7"/>
      <c r="B50" s="99"/>
      <c r="C50" s="9">
        <v>0.26989579754738691</v>
      </c>
      <c r="D50" s="10">
        <v>1</v>
      </c>
      <c r="E50" s="10">
        <v>1</v>
      </c>
      <c r="F50" s="10">
        <v>1</v>
      </c>
      <c r="G50" s="11">
        <v>0.39052718269779463</v>
      </c>
      <c r="H50" s="3"/>
      <c r="I50" s="3"/>
      <c r="J50" s="9">
        <f ca="1"/>
        <v>0.35415212537187357</v>
      </c>
      <c r="K50" s="10">
        <f ca="1"/>
        <v>1</v>
      </c>
      <c r="L50" s="10">
        <f ca="1"/>
        <v>0.45663546032593905</v>
      </c>
      <c r="M50" s="10">
        <f ca="1"/>
        <v>1</v>
      </c>
      <c r="N50" s="11">
        <f ca="1"/>
        <v>0.54916534251443094</v>
      </c>
      <c r="O50" s="3"/>
      <c r="P50" s="3"/>
      <c r="Q50" s="9">
        <f ca="1"/>
        <v>0.24685596859781367</v>
      </c>
      <c r="R50" s="10">
        <f ca="1"/>
        <v>1</v>
      </c>
      <c r="S50" s="10">
        <f ca="1"/>
        <v>0.81187822518319197</v>
      </c>
      <c r="T50" s="10">
        <f ca="1"/>
        <v>0.8461855860804588</v>
      </c>
      <c r="U50" s="11">
        <f ca="1"/>
        <v>0.55772225315822122</v>
      </c>
      <c r="V50" s="3"/>
      <c r="W50" s="3"/>
      <c r="X50" s="9">
        <f ca="1"/>
        <v>0</v>
      </c>
      <c r="Y50" s="10">
        <f ca="1"/>
        <v>0</v>
      </c>
      <c r="Z50" s="10">
        <f ca="1"/>
        <v>0</v>
      </c>
      <c r="AA50" s="10">
        <f ca="1"/>
        <v>0</v>
      </c>
      <c r="AB50" s="11">
        <f ca="1"/>
        <v>0</v>
      </c>
      <c r="AC50" s="3"/>
      <c r="AD50" s="3"/>
      <c r="AE50" s="9">
        <f ca="1"/>
        <v>0.27958188501835668</v>
      </c>
      <c r="AF50" s="10">
        <f ca="1"/>
        <v>0.30234757593384964</v>
      </c>
      <c r="AG50" s="10">
        <f ca="1"/>
        <v>0.41492783228954788</v>
      </c>
      <c r="AH50" s="10">
        <f ca="1"/>
        <v>0.35415212537187357</v>
      </c>
      <c r="AI50" s="11">
        <f ca="1"/>
        <v>0.26989579754738691</v>
      </c>
      <c r="AJ50" s="3"/>
      <c r="AK50" s="3"/>
      <c r="AL50" s="9">
        <f ca="1"/>
        <v>0.39052718269779463</v>
      </c>
      <c r="AM50" s="10">
        <f ca="1"/>
        <v>0.54916534251443094</v>
      </c>
      <c r="AN50" s="10">
        <f ca="1"/>
        <v>0.39771131229128331</v>
      </c>
      <c r="AO50" s="10">
        <f ca="1"/>
        <v>0.64463313068249883</v>
      </c>
      <c r="AP50" s="11">
        <f ca="1"/>
        <v>0.27526416611450932</v>
      </c>
      <c r="AQ50" s="3"/>
      <c r="AR50" s="3"/>
      <c r="AS50" s="9">
        <f ca="1"/>
        <v>0</v>
      </c>
      <c r="AT50" s="10">
        <f ca="1"/>
        <v>0.26989579754738691</v>
      </c>
      <c r="AU50" s="10">
        <f ca="1"/>
        <v>1</v>
      </c>
      <c r="AV50" s="10">
        <f ca="1"/>
        <v>1</v>
      </c>
      <c r="AW50" s="11">
        <f ca="1"/>
        <v>1</v>
      </c>
      <c r="AX50" s="3"/>
      <c r="AY50" s="3"/>
      <c r="AZ50" s="9">
        <f ca="1"/>
        <v>1</v>
      </c>
      <c r="BA50" s="10">
        <f ca="1"/>
        <v>1</v>
      </c>
      <c r="BB50" s="10">
        <f ca="1"/>
        <v>1</v>
      </c>
      <c r="BC50" s="10">
        <f ca="1"/>
        <v>0.39052718269779463</v>
      </c>
      <c r="BD50" s="11">
        <f ca="1"/>
        <v>0</v>
      </c>
      <c r="BE50" s="3"/>
      <c r="BG50" s="9">
        <f ca="1"/>
        <v>0.39052718269779463</v>
      </c>
      <c r="BH50" s="10">
        <f ca="1"/>
        <v>1</v>
      </c>
      <c r="BI50" s="10">
        <f ca="1"/>
        <v>1</v>
      </c>
      <c r="BJ50" s="10">
        <f ca="1"/>
        <v>1</v>
      </c>
      <c r="BK50" s="11">
        <f ca="1"/>
        <v>0.26989579754738691</v>
      </c>
      <c r="BL50" s="3"/>
      <c r="BM50" s="3"/>
      <c r="BN50" s="9">
        <f ca="1"/>
        <v>0.27958188501835668</v>
      </c>
      <c r="BO50" s="10">
        <f ca="1"/>
        <v>1</v>
      </c>
      <c r="BP50" s="10">
        <f ca="1"/>
        <v>1</v>
      </c>
      <c r="BQ50" s="10">
        <f ca="1"/>
        <v>1</v>
      </c>
      <c r="BR50" s="11">
        <f ca="1"/>
        <v>0.27526416611450932</v>
      </c>
      <c r="BS50" s="3"/>
      <c r="BU50" s="9">
        <f ca="1"/>
        <v>0.27526416611450932</v>
      </c>
      <c r="BV50" s="10">
        <f ca="1"/>
        <v>1</v>
      </c>
      <c r="BW50" s="10">
        <f ca="1"/>
        <v>1</v>
      </c>
      <c r="BX50" s="10">
        <f ca="1"/>
        <v>1</v>
      </c>
      <c r="BY50" s="11">
        <f ca="1"/>
        <v>0.27958188501835668</v>
      </c>
      <c r="CA50" s="29"/>
    </row>
    <row r="51" spans="1:79" s="1" customFormat="1" ht="18" customHeight="1" x14ac:dyDescent="0.2">
      <c r="A51" s="7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U51" s="3"/>
      <c r="BV51" s="3"/>
      <c r="BW51" s="3"/>
      <c r="BX51" s="3"/>
      <c r="BY51" s="3"/>
      <c r="CA51" s="29"/>
    </row>
    <row r="52" spans="1:79" s="1" customFormat="1" ht="18" customHeight="1" thickBot="1" x14ac:dyDescent="0.25">
      <c r="A52" s="7"/>
      <c r="B52" s="99">
        <v>7</v>
      </c>
      <c r="C52" s="97" t="s">
        <v>12</v>
      </c>
      <c r="D52" s="97"/>
      <c r="E52" s="97"/>
      <c r="F52" s="97"/>
      <c r="G52" s="97"/>
      <c r="H52" s="28"/>
      <c r="I52" s="3"/>
      <c r="J52" s="97" t="str" cm="1">
        <f t="array" aca="1" ref="J52" ca="1">INDEX(Helper!$E$13:$E$22, OFFSET(Helper!$J$13,$B52,J$2))</f>
        <v>180 Rotation</v>
      </c>
      <c r="K52" s="97"/>
      <c r="L52" s="97"/>
      <c r="M52" s="97"/>
      <c r="N52" s="97"/>
      <c r="O52" s="3"/>
      <c r="P52" s="3"/>
      <c r="Q52" s="97" t="str" cm="1">
        <f t="array" aca="1" ref="Q52" ca="1">INDEX(Helper!$E$13:$E$22, OFFSET(Helper!$J$13,$B52,Q$2))</f>
        <v>Horizontal Flip</v>
      </c>
      <c r="R52" s="97"/>
      <c r="S52" s="97"/>
      <c r="T52" s="97"/>
      <c r="U52" s="97"/>
      <c r="V52" s="3"/>
      <c r="W52" s="3"/>
      <c r="X52" s="97" t="str" cm="1">
        <f t="array" aca="1" ref="X52" ca="1">INDEX(Helper!$E$13:$E$22, OFFSET(Helper!$J$13,$B52,X$2))</f>
        <v>Shift Up</v>
      </c>
      <c r="Y52" s="97"/>
      <c r="Z52" s="97"/>
      <c r="AA52" s="97"/>
      <c r="AB52" s="97"/>
      <c r="AC52" s="3"/>
      <c r="AD52" s="3"/>
      <c r="AE52" s="97" t="str" cm="1">
        <f t="array" aca="1" ref="AE52" ca="1">INDEX(Helper!$E$13:$E$22, OFFSET(Helper!$J$13,$B52,AE$2))</f>
        <v>90 CW</v>
      </c>
      <c r="AF52" s="97"/>
      <c r="AG52" s="97"/>
      <c r="AH52" s="97"/>
      <c r="AI52" s="97"/>
      <c r="AJ52" s="3"/>
      <c r="AK52" s="3"/>
      <c r="AL52" s="97" t="str" cm="1">
        <f t="array" aca="1" ref="AL52" ca="1">INDEX(Helper!$E$13:$E$22, OFFSET(Helper!$J$13,$B52,AL$2))</f>
        <v>Vertical Flip</v>
      </c>
      <c r="AM52" s="97"/>
      <c r="AN52" s="97"/>
      <c r="AO52" s="97"/>
      <c r="AP52" s="97"/>
      <c r="AQ52" s="3"/>
      <c r="AR52" s="3"/>
      <c r="AS52" s="97" t="str" cm="1">
        <f t="array" aca="1" ref="AS52" ca="1">INDEX(Helper!$E$13:$E$22, OFFSET(Helper!$J$13,$B52,AS$2))</f>
        <v>Shift Right</v>
      </c>
      <c r="AT52" s="97"/>
      <c r="AU52" s="97"/>
      <c r="AV52" s="97"/>
      <c r="AW52" s="97"/>
      <c r="AX52" s="3"/>
      <c r="AY52" s="3"/>
      <c r="AZ52" s="97" t="str" cm="1">
        <f t="array" aca="1" ref="AZ52" ca="1">INDEX(Helper!$E$13:$E$22, OFFSET(Helper!$J$13,$B52,AZ$2))</f>
        <v>Shift Left</v>
      </c>
      <c r="BA52" s="97"/>
      <c r="BB52" s="97"/>
      <c r="BC52" s="97"/>
      <c r="BD52" s="97"/>
      <c r="BE52" s="3"/>
      <c r="BG52" s="97" t="str" cm="1">
        <f t="array" aca="1" ref="BG52" ca="1">INDEX(Helper!$E$13:$E$22, OFFSET(Helper!$J$13,$B52,BG$2))</f>
        <v>Shift Down</v>
      </c>
      <c r="BH52" s="97"/>
      <c r="BI52" s="97"/>
      <c r="BJ52" s="97"/>
      <c r="BK52" s="97"/>
      <c r="BL52" s="3"/>
      <c r="BM52" s="3"/>
      <c r="BN52" s="97" t="str" cm="1">
        <f t="array" aca="1" ref="BN52" ca="1">INDEX(Helper!$E$13:$E$22, OFFSET(Helper!$J$13,$B52,BN$2))</f>
        <v>90 CCW</v>
      </c>
      <c r="BO52" s="97"/>
      <c r="BP52" s="97"/>
      <c r="BQ52" s="97"/>
      <c r="BR52" s="97"/>
      <c r="BS52" s="3"/>
      <c r="BU52" s="97" t="str" cm="1">
        <f t="array" aca="1" ref="BU52" ca="1">INDEX(Helper!$E$13:$E$22, OFFSET(Helper!$J$13,$B52,BU$2))</f>
        <v>Noise</v>
      </c>
      <c r="BV52" s="97"/>
      <c r="BW52" s="97"/>
      <c r="BX52" s="97"/>
      <c r="BY52" s="97"/>
      <c r="CA52" s="29"/>
    </row>
    <row r="53" spans="1:79" s="1" customFormat="1" ht="18" customHeight="1" x14ac:dyDescent="0.2">
      <c r="A53" s="7"/>
      <c r="B53" s="99"/>
      <c r="C53" s="4">
        <v>0.470511175014594</v>
      </c>
      <c r="D53" s="5">
        <v>1</v>
      </c>
      <c r="E53" s="5">
        <v>1</v>
      </c>
      <c r="F53" s="5">
        <v>1</v>
      </c>
      <c r="G53" s="6">
        <v>0.48322132019641195</v>
      </c>
      <c r="H53" s="3"/>
      <c r="I53" s="3"/>
      <c r="J53" s="4" cm="1">
        <f t="array" aca="1" ref="J53:N57" ca="1">_xlfn.IFS(J52="None",  $C53:$G57*0,           J52="Horizontal Flip", INDEX($C53:$G57, _xlfn.SEQUENCE(5), 6 - _xlfn.SEQUENCE(1,5)),        J52="Vertical Flip", INDEX($C53:$G57, 6 - _xlfn.SEQUENCE(5), _xlfn.SEQUENCE(1,5)),      J52="180 Rotation", INDEX($C53:$G57, 6 - _xlfn.SEQUENCE(5), 6 - _xlfn.SEQUENCE(1,5)),        J52="90 CW", INDEX($C53:$G57, 6 - _xlfn.SEQUENCE(1,5), _xlfn.SEQUENCE(5)),          J52="90 CCW", INDEX($C53:$G57, _xlfn.SEQUENCE(1,5), 6 - _xlfn.SEQUENCE(5)),         J52="Shift Up", IF(_xlfn.SEQUENCE(5)+1&lt;=5, INDEX($C53:$G57, _xlfn.SEQUENCE(5)+1, _xlfn.SEQUENCE(1,5)), 0),         J52="Shift Down", IF(_xlfn.SEQUENCE(5)-1&gt;=1, INDEX($C53:$G57, _xlfn.SEQUENCE(5)-1, _xlfn.SEQUENCE(1,5)), 0),         J52="Shift Left",   IF(_xlfn.SEQUENCE(1,5)+1&lt;=5, INDEX($C53:$G57, _xlfn.SEQUENCE(5), _xlfn.SEQUENCE(1,5)+1),0),         J52= "Shift Right",  IF(_xlfn.SEQUENCE(1,5)-1&gt;=1, INDEX($C53:$G57, _xlfn.SEQUENCE(5), _xlfn.SEQUENCE(1,5)-1), 0),        J52="Noise",  _xlfn.MAP($C53:$G57 + (_xlfn.RANDARRAY(ROWS($C53:$G57), COLUMNS($C53:$G57)) - 0.5) * 0.4, _xlfn.LAMBDA(_xlpm.x, MAX(0, MIN(1, _xlpm.x)))))</f>
        <v>0.24099404484760434</v>
      </c>
      <c r="K53" s="5">
        <f ca="1"/>
        <v>1</v>
      </c>
      <c r="L53" s="5">
        <f ca="1"/>
        <v>0.51041624149965437</v>
      </c>
      <c r="M53" s="5">
        <f ca="1"/>
        <v>0.5774628583375494</v>
      </c>
      <c r="N53" s="6">
        <f ca="1"/>
        <v>0.32833756171622042</v>
      </c>
      <c r="O53" s="3"/>
      <c r="P53" s="3"/>
      <c r="Q53" s="4" cm="1">
        <f t="array" aca="1" ref="Q53:U57" ca="1">_xlfn.IFS(Q52="None",  $C53:$G57*0,           Q52="Horizontal Flip", INDEX($C53:$G57, _xlfn.SEQUENCE(5), 6 - _xlfn.SEQUENCE(1,5)),        Q52="Vertical Flip", INDEX($C53:$G57, 6 - _xlfn.SEQUENCE(5), _xlfn.SEQUENCE(1,5)),      Q52="180 Rotation", INDEX($C53:$G57, 6 - _xlfn.SEQUENCE(5), 6 - _xlfn.SEQUENCE(1,5)),        Q52="90 CW", INDEX($C53:$G57, 6 - _xlfn.SEQUENCE(1,5), _xlfn.SEQUENCE(5)),          Q52="90 CCW", INDEX($C53:$G57, _xlfn.SEQUENCE(1,5), 6 - _xlfn.SEQUENCE(5)),         Q52="Shift Up", IF(_xlfn.SEQUENCE(5)+1&lt;=5, INDEX($C53:$G57, _xlfn.SEQUENCE(5)+1, _xlfn.SEQUENCE(1,5)), 0),         Q52="Shift Down", IF(_xlfn.SEQUENCE(5)-1&gt;=1, INDEX($C53:$G57, _xlfn.SEQUENCE(5)-1, _xlfn.SEQUENCE(1,5)), 0),         Q52="Shift Left",   IF(_xlfn.SEQUENCE(1,5)+1&lt;=5, INDEX($C53:$G57, _xlfn.SEQUENCE(5), _xlfn.SEQUENCE(1,5)+1),0),         Q52= "Shift Right",  IF(_xlfn.SEQUENCE(1,5)-1&gt;=1, INDEX($C53:$G57, _xlfn.SEQUENCE(5), _xlfn.SEQUENCE(1,5)-1), 0),        Q52="Noise",  _xlfn.MAP($C53:$G57 + (_xlfn.RANDARRAY(ROWS($C53:$G57), COLUMNS($C53:$G57)) - 0.5) * 0.4, _xlfn.LAMBDA(_xlpm.x, MAX(0, MIN(1, _xlpm.x)))))</f>
        <v>0.48322132019641195</v>
      </c>
      <c r="R53" s="5">
        <f ca="1"/>
        <v>1</v>
      </c>
      <c r="S53" s="5">
        <f ca="1"/>
        <v>1</v>
      </c>
      <c r="T53" s="5">
        <f ca="1"/>
        <v>1</v>
      </c>
      <c r="U53" s="6">
        <f ca="1"/>
        <v>0.470511175014594</v>
      </c>
      <c r="V53" s="3"/>
      <c r="W53" s="3"/>
      <c r="X53" s="4" cm="1">
        <f t="array" aca="1" ref="X53:AB57" ca="1">_xlfn.IFS(X52="None",  $C53:$G57*0,           X52="Horizontal Flip", INDEX($C53:$G57, _xlfn.SEQUENCE(5), 6 - _xlfn.SEQUENCE(1,5)),        X52="Vertical Flip", INDEX($C53:$G57, 6 - _xlfn.SEQUENCE(5), _xlfn.SEQUENCE(1,5)),      X52="180 Rotation", INDEX($C53:$G57, 6 - _xlfn.SEQUENCE(5), 6 - _xlfn.SEQUENCE(1,5)),        X52="90 CW", INDEX($C53:$G57, 6 - _xlfn.SEQUENCE(1,5), _xlfn.SEQUENCE(5)),          X52="90 CCW", INDEX($C53:$G57, _xlfn.SEQUENCE(1,5), 6 - _xlfn.SEQUENCE(5)),         X52="Shift Up", IF(_xlfn.SEQUENCE(5)+1&lt;=5, INDEX($C53:$G57, _xlfn.SEQUENCE(5)+1, _xlfn.SEQUENCE(1,5)), 0),         X52="Shift Down", IF(_xlfn.SEQUENCE(5)-1&gt;=1, INDEX($C53:$G57, _xlfn.SEQUENCE(5)-1, _xlfn.SEQUENCE(1,5)), 0),         X52="Shift Left",   IF(_xlfn.SEQUENCE(1,5)+1&lt;=5, INDEX($C53:$G57, _xlfn.SEQUENCE(5), _xlfn.SEQUENCE(1,5)+1),0),         X52= "Shift Right",  IF(_xlfn.SEQUENCE(1,5)-1&gt;=1, INDEX($C53:$G57, _xlfn.SEQUENCE(5), _xlfn.SEQUENCE(1,5)-1), 0),        X52="Noise",  _xlfn.MAP($C53:$G57 + (_xlfn.RANDARRAY(ROWS($C53:$G57), COLUMNS($C53:$G57)) - 0.5) * 0.4, _xlfn.LAMBDA(_xlpm.x, MAX(0, MIN(1, _xlpm.x)))))</f>
        <v>0.57333694491603804</v>
      </c>
      <c r="Y53" s="5">
        <f ca="1"/>
        <v>0.35439587812026241</v>
      </c>
      <c r="Z53" s="5">
        <f ca="1"/>
        <v>0.63927824530118682</v>
      </c>
      <c r="AA53" s="5">
        <f ca="1"/>
        <v>1</v>
      </c>
      <c r="AB53" s="6">
        <f ca="1"/>
        <v>0.24257675112984123</v>
      </c>
      <c r="AC53" s="3"/>
      <c r="AD53" s="3"/>
      <c r="AE53" s="4" cm="1">
        <f t="array" aca="1" ref="AE53:AI57" ca="1">_xlfn.IFS(AE52="None",  $C53:$G57*0,           AE52="Horizontal Flip", INDEX($C53:$G57, _xlfn.SEQUENCE(5), 6 - _xlfn.SEQUENCE(1,5)),        AE52="Vertical Flip", INDEX($C53:$G57, 6 - _xlfn.SEQUENCE(5), _xlfn.SEQUENCE(1,5)),      AE52="180 Rotation", INDEX($C53:$G57, 6 - _xlfn.SEQUENCE(5), 6 - _xlfn.SEQUENCE(1,5)),        AE52="90 CW", INDEX($C53:$G57, 6 - _xlfn.SEQUENCE(1,5), _xlfn.SEQUENCE(5)),          AE52="90 CCW", INDEX($C53:$G57, _xlfn.SEQUENCE(1,5), 6 - _xlfn.SEQUENCE(5)),         AE52="Shift Up", IF(_xlfn.SEQUENCE(5)+1&lt;=5, INDEX($C53:$G57, _xlfn.SEQUENCE(5)+1, _xlfn.SEQUENCE(1,5)), 0),         AE52="Shift Down", IF(_xlfn.SEQUENCE(5)-1&gt;=1, INDEX($C53:$G57, _xlfn.SEQUENCE(5)-1, _xlfn.SEQUENCE(1,5)), 0),         AE52="Shift Left",   IF(_xlfn.SEQUENCE(1,5)+1&lt;=5, INDEX($C53:$G57, _xlfn.SEQUENCE(5), _xlfn.SEQUENCE(1,5)+1),0),         AE52= "Shift Right",  IF(_xlfn.SEQUENCE(1,5)-1&gt;=1, INDEX($C53:$G57, _xlfn.SEQUENCE(5), _xlfn.SEQUENCE(1,5)-1), 0),        AE52="Noise",  _xlfn.MAP($C53:$G57 + (_xlfn.RANDARRAY(ROWS($C53:$G57), COLUMNS($C53:$G57)) - 0.5) * 0.4, _xlfn.LAMBDA(_xlpm.x, MAX(0, MIN(1, _xlpm.x)))))</f>
        <v>0.32833756171622042</v>
      </c>
      <c r="AF53" s="5">
        <f ca="1"/>
        <v>0.65436952533524595</v>
      </c>
      <c r="AG53" s="5">
        <f ca="1"/>
        <v>0.75499935792337303</v>
      </c>
      <c r="AH53" s="5">
        <f ca="1"/>
        <v>0.57333694491603804</v>
      </c>
      <c r="AI53" s="6">
        <f ca="1"/>
        <v>0.470511175014594</v>
      </c>
      <c r="AJ53" s="3"/>
      <c r="AK53" s="3"/>
      <c r="AL53" s="4" cm="1">
        <f t="array" aca="1" ref="AL53:AP57" ca="1">_xlfn.IFS(AL52="None",  $C53:$G57*0,           AL52="Horizontal Flip", INDEX($C53:$G57, _xlfn.SEQUENCE(5), 6 - _xlfn.SEQUENCE(1,5)),        AL52="Vertical Flip", INDEX($C53:$G57, 6 - _xlfn.SEQUENCE(5), _xlfn.SEQUENCE(1,5)),      AL52="180 Rotation", INDEX($C53:$G57, 6 - _xlfn.SEQUENCE(5), 6 - _xlfn.SEQUENCE(1,5)),        AL52="90 CW", INDEX($C53:$G57, 6 - _xlfn.SEQUENCE(1,5), _xlfn.SEQUENCE(5)),          AL52="90 CCW", INDEX($C53:$G57, _xlfn.SEQUENCE(1,5), 6 - _xlfn.SEQUENCE(5)),         AL52="Shift Up", IF(_xlfn.SEQUENCE(5)+1&lt;=5, INDEX($C53:$G57, _xlfn.SEQUENCE(5)+1, _xlfn.SEQUENCE(1,5)), 0),         AL52="Shift Down", IF(_xlfn.SEQUENCE(5)-1&gt;=1, INDEX($C53:$G57, _xlfn.SEQUENCE(5)-1, _xlfn.SEQUENCE(1,5)), 0),         AL52="Shift Left",   IF(_xlfn.SEQUENCE(1,5)+1&lt;=5, INDEX($C53:$G57, _xlfn.SEQUENCE(5), _xlfn.SEQUENCE(1,5)+1),0),         AL52= "Shift Right",  IF(_xlfn.SEQUENCE(1,5)-1&gt;=1, INDEX($C53:$G57, _xlfn.SEQUENCE(5), _xlfn.SEQUENCE(1,5)-1), 0),        AL52="Noise",  _xlfn.MAP($C53:$G57 + (_xlfn.RANDARRAY(ROWS($C53:$G57), COLUMNS($C53:$G57)) - 0.5) * 0.4, _xlfn.LAMBDA(_xlpm.x, MAX(0, MIN(1, _xlpm.x)))))</f>
        <v>0.32833756171622042</v>
      </c>
      <c r="AM53" s="5">
        <f ca="1"/>
        <v>0.5774628583375494</v>
      </c>
      <c r="AN53" s="5">
        <f ca="1"/>
        <v>0.51041624149965437</v>
      </c>
      <c r="AO53" s="5">
        <f ca="1"/>
        <v>1</v>
      </c>
      <c r="AP53" s="6">
        <f ca="1"/>
        <v>0.24099404484760434</v>
      </c>
      <c r="AQ53" s="3"/>
      <c r="AR53" s="3"/>
      <c r="AS53" s="4" cm="1">
        <f t="array" aca="1" ref="AS53:AW57" ca="1">_xlfn.IFS(AS52="None",  $C53:$G57*0,           AS52="Horizontal Flip", INDEX($C53:$G57, _xlfn.SEQUENCE(5), 6 - _xlfn.SEQUENCE(1,5)),        AS52="Vertical Flip", INDEX($C53:$G57, 6 - _xlfn.SEQUENCE(5), _xlfn.SEQUENCE(1,5)),      AS52="180 Rotation", INDEX($C53:$G57, 6 - _xlfn.SEQUENCE(5), 6 - _xlfn.SEQUENCE(1,5)),        AS52="90 CW", INDEX($C53:$G57, 6 - _xlfn.SEQUENCE(1,5), _xlfn.SEQUENCE(5)),          AS52="90 CCW", INDEX($C53:$G57, _xlfn.SEQUENCE(1,5), 6 - _xlfn.SEQUENCE(5)),         AS52="Shift Up", IF(_xlfn.SEQUENCE(5)+1&lt;=5, INDEX($C53:$G57, _xlfn.SEQUENCE(5)+1, _xlfn.SEQUENCE(1,5)), 0),         AS52="Shift Down", IF(_xlfn.SEQUENCE(5)-1&gt;=1, INDEX($C53:$G57, _xlfn.SEQUENCE(5)-1, _xlfn.SEQUENCE(1,5)), 0),         AS52="Shift Left",   IF(_xlfn.SEQUENCE(1,5)+1&lt;=5, INDEX($C53:$G57, _xlfn.SEQUENCE(5), _xlfn.SEQUENCE(1,5)+1),0),         AS52= "Shift Right",  IF(_xlfn.SEQUENCE(1,5)-1&gt;=1, INDEX($C53:$G57, _xlfn.SEQUENCE(5), _xlfn.SEQUENCE(1,5)-1), 0),        AS52="Noise",  _xlfn.MAP($C53:$G57 + (_xlfn.RANDARRAY(ROWS($C53:$G57), COLUMNS($C53:$G57)) - 0.5) * 0.4, _xlfn.LAMBDA(_xlpm.x, MAX(0, MIN(1, _xlpm.x)))))</f>
        <v>0</v>
      </c>
      <c r="AT53" s="5">
        <f ca="1"/>
        <v>0.470511175014594</v>
      </c>
      <c r="AU53" s="5">
        <f ca="1"/>
        <v>1</v>
      </c>
      <c r="AV53" s="5">
        <f ca="1"/>
        <v>1</v>
      </c>
      <c r="AW53" s="6">
        <f ca="1"/>
        <v>1</v>
      </c>
      <c r="AX53" s="3"/>
      <c r="AY53" s="3"/>
      <c r="AZ53" s="4" cm="1">
        <f t="array" aca="1" ref="AZ53:BD57" ca="1">_xlfn.IFS(AZ52="None",  $C53:$G57*0,           AZ52="Horizontal Flip", INDEX($C53:$G57, _xlfn.SEQUENCE(5), 6 - _xlfn.SEQUENCE(1,5)),        AZ52="Vertical Flip", INDEX($C53:$G57, 6 - _xlfn.SEQUENCE(5), _xlfn.SEQUENCE(1,5)),      AZ52="180 Rotation", INDEX($C53:$G57, 6 - _xlfn.SEQUENCE(5), 6 - _xlfn.SEQUENCE(1,5)),        AZ52="90 CW", INDEX($C53:$G57, 6 - _xlfn.SEQUENCE(1,5), _xlfn.SEQUENCE(5)),          AZ52="90 CCW", INDEX($C53:$G57, _xlfn.SEQUENCE(1,5), 6 - _xlfn.SEQUENCE(5)),         AZ52="Shift Up", IF(_xlfn.SEQUENCE(5)+1&lt;=5, INDEX($C53:$G57, _xlfn.SEQUENCE(5)+1, _xlfn.SEQUENCE(1,5)), 0),         AZ52="Shift Down", IF(_xlfn.SEQUENCE(5)-1&gt;=1, INDEX($C53:$G57, _xlfn.SEQUENCE(5)-1, _xlfn.SEQUENCE(1,5)), 0),         AZ52="Shift Left",   IF(_xlfn.SEQUENCE(1,5)+1&lt;=5, INDEX($C53:$G57, _xlfn.SEQUENCE(5), _xlfn.SEQUENCE(1,5)+1),0),         AZ52= "Shift Right",  IF(_xlfn.SEQUENCE(1,5)-1&gt;=1, INDEX($C53:$G57, _xlfn.SEQUENCE(5), _xlfn.SEQUENCE(1,5)-1), 0),        AZ52="Noise",  _xlfn.MAP($C53:$G57 + (_xlfn.RANDARRAY(ROWS($C53:$G57), COLUMNS($C53:$G57)) - 0.5) * 0.4, _xlfn.LAMBDA(_xlpm.x, MAX(0, MIN(1, _xlpm.x)))))</f>
        <v>1</v>
      </c>
      <c r="BA53" s="5">
        <f ca="1"/>
        <v>1</v>
      </c>
      <c r="BB53" s="5">
        <f ca="1"/>
        <v>1</v>
      </c>
      <c r="BC53" s="5">
        <f ca="1"/>
        <v>0.48322132019641195</v>
      </c>
      <c r="BD53" s="6">
        <f ca="1"/>
        <v>0</v>
      </c>
      <c r="BE53" s="3"/>
      <c r="BG53" s="4" cm="1">
        <f t="array" aca="1" ref="BG53:BK57" ca="1">_xlfn.IFS(BG52="None",  $C53:$G57*0,           BG52="Horizontal Flip", INDEX($C53:$G57, _xlfn.SEQUENCE(5), 6 - _xlfn.SEQUENCE(1,5)),        BG52="Vertical Flip", INDEX($C53:$G57, 6 - _xlfn.SEQUENCE(5), _xlfn.SEQUENCE(1,5)),      BG52="180 Rotation", INDEX($C53:$G57, 6 - _xlfn.SEQUENCE(5), 6 - _xlfn.SEQUENCE(1,5)),        BG52="90 CW", INDEX($C53:$G57, 6 - _xlfn.SEQUENCE(1,5), _xlfn.SEQUENCE(5)),          BG52="90 CCW", INDEX($C53:$G57, _xlfn.SEQUENCE(1,5), 6 - _xlfn.SEQUENCE(5)),         BG52="Shift Up", IF(_xlfn.SEQUENCE(5)+1&lt;=5, INDEX($C53:$G57, _xlfn.SEQUENCE(5)+1, _xlfn.SEQUENCE(1,5)), 0),         BG52="Shift Down", IF(_xlfn.SEQUENCE(5)-1&gt;=1, INDEX($C53:$G57, _xlfn.SEQUENCE(5)-1, _xlfn.SEQUENCE(1,5)), 0),         BG52="Shift Left",   IF(_xlfn.SEQUENCE(1,5)+1&lt;=5, INDEX($C53:$G57, _xlfn.SEQUENCE(5), _xlfn.SEQUENCE(1,5)+1),0),         BG52= "Shift Right",  IF(_xlfn.SEQUENCE(1,5)-1&gt;=1, INDEX($C53:$G57, _xlfn.SEQUENCE(5), _xlfn.SEQUENCE(1,5)-1), 0),        BG52="Noise",  _xlfn.MAP($C53:$G57 + (_xlfn.RANDARRAY(ROWS($C53:$G57), COLUMNS($C53:$G57)) - 0.5) * 0.4, _xlfn.LAMBDA(_xlpm.x, MAX(0, MIN(1, _xlpm.x)))))</f>
        <v>0</v>
      </c>
      <c r="BH53" s="5">
        <f ca="1"/>
        <v>0</v>
      </c>
      <c r="BI53" s="5">
        <f ca="1"/>
        <v>0</v>
      </c>
      <c r="BJ53" s="5">
        <f ca="1"/>
        <v>0</v>
      </c>
      <c r="BK53" s="6">
        <f ca="1"/>
        <v>0</v>
      </c>
      <c r="BL53" s="3"/>
      <c r="BM53" s="3"/>
      <c r="BN53" s="4" cm="1">
        <f t="array" aca="1" ref="BN53:BR57" ca="1">_xlfn.IFS(BN52="None",  $C53:$G57*0,           BN52="Horizontal Flip", INDEX($C53:$G57, _xlfn.SEQUENCE(5), 6 - _xlfn.SEQUENCE(1,5)),        BN52="Vertical Flip", INDEX($C53:$G57, 6 - _xlfn.SEQUENCE(5), _xlfn.SEQUENCE(1,5)),      BN52="180 Rotation", INDEX($C53:$G57, 6 - _xlfn.SEQUENCE(5), 6 - _xlfn.SEQUENCE(1,5)),        BN52="90 CW", INDEX($C53:$G57, 6 - _xlfn.SEQUENCE(1,5), _xlfn.SEQUENCE(5)),          BN52="90 CCW", INDEX($C53:$G57, _xlfn.SEQUENCE(1,5), 6 - _xlfn.SEQUENCE(5)),         BN52="Shift Up", IF(_xlfn.SEQUENCE(5)+1&lt;=5, INDEX($C53:$G57, _xlfn.SEQUENCE(5)+1, _xlfn.SEQUENCE(1,5)), 0),         BN52="Shift Down", IF(_xlfn.SEQUENCE(5)-1&gt;=1, INDEX($C53:$G57, _xlfn.SEQUENCE(5)-1, _xlfn.SEQUENCE(1,5)), 0),         BN52="Shift Left",   IF(_xlfn.SEQUENCE(1,5)+1&lt;=5, INDEX($C53:$G57, _xlfn.SEQUENCE(5), _xlfn.SEQUENCE(1,5)+1),0),         BN52= "Shift Right",  IF(_xlfn.SEQUENCE(1,5)-1&gt;=1, INDEX($C53:$G57, _xlfn.SEQUENCE(5), _xlfn.SEQUENCE(1,5)-1), 0),        BN52="Noise",  _xlfn.MAP($C53:$G57 + (_xlfn.RANDARRAY(ROWS($C53:$G57), COLUMNS($C53:$G57)) - 0.5) * 0.4, _xlfn.LAMBDA(_xlpm.x, MAX(0, MIN(1, _xlpm.x)))))</f>
        <v>0.48322132019641195</v>
      </c>
      <c r="BO53" s="5">
        <f ca="1"/>
        <v>0.24257675112984123</v>
      </c>
      <c r="BP53" s="5">
        <f ca="1"/>
        <v>0.62005283827156232</v>
      </c>
      <c r="BQ53" s="5">
        <f ca="1"/>
        <v>0.22350221211105137</v>
      </c>
      <c r="BR53" s="6">
        <f ca="1"/>
        <v>0.24099404484760434</v>
      </c>
      <c r="BS53" s="3"/>
      <c r="BU53" s="4" cm="1">
        <f t="array" aca="1" ref="BU53:BY57" ca="1">_xlfn.IFS(BU52="None",  $C53:$G57*0,           BU52="Horizontal Flip", INDEX($C53:$G57, _xlfn.SEQUENCE(5), 6 - _xlfn.SEQUENCE(1,5)),        BU52="Vertical Flip", INDEX($C53:$G57, 6 - _xlfn.SEQUENCE(5), _xlfn.SEQUENCE(1,5)),      BU52="180 Rotation", INDEX($C53:$G57, 6 - _xlfn.SEQUENCE(5), 6 - _xlfn.SEQUENCE(1,5)),        BU52="90 CW", INDEX($C53:$G57, 6 - _xlfn.SEQUENCE(1,5), _xlfn.SEQUENCE(5)),          BU52="90 CCW", INDEX($C53:$G57, _xlfn.SEQUENCE(1,5), 6 - _xlfn.SEQUENCE(5)),         BU52="Shift Up", IF(_xlfn.SEQUENCE(5)+1&lt;=5, INDEX($C53:$G57, _xlfn.SEQUENCE(5)+1, _xlfn.SEQUENCE(1,5)), 0),         BU52="Shift Down", IF(_xlfn.SEQUENCE(5)-1&gt;=1, INDEX($C53:$G57, _xlfn.SEQUENCE(5)-1, _xlfn.SEQUENCE(1,5)), 0),         BU52="Shift Left",   IF(_xlfn.SEQUENCE(1,5)+1&lt;=5, INDEX($C53:$G57, _xlfn.SEQUENCE(5), _xlfn.SEQUENCE(1,5)+1),0),         BU52= "Shift Right",  IF(_xlfn.SEQUENCE(1,5)-1&gt;=1, INDEX($C53:$G57, _xlfn.SEQUENCE(5), _xlfn.SEQUENCE(1,5)-1), 0),        BU52="Noise",  _xlfn.MAP($C53:$G57 + (_xlfn.RANDARRAY(ROWS($C53:$G57), COLUMNS($C53:$G57)) - 0.5) * 0.4, _xlfn.LAMBDA(_xlpm.x, MAX(0, MIN(1, _xlpm.x)))))</f>
        <v>0.28038321210730022</v>
      </c>
      <c r="BV53" s="5">
        <f ca="1"/>
        <v>1</v>
      </c>
      <c r="BW53" s="5">
        <f ca="1"/>
        <v>0.86658177460487296</v>
      </c>
      <c r="BX53" s="5">
        <f ca="1"/>
        <v>0.99933363340063663</v>
      </c>
      <c r="BY53" s="6">
        <f ca="1"/>
        <v>0.30245969972222053</v>
      </c>
      <c r="CA53" s="29"/>
    </row>
    <row r="54" spans="1:79" s="1" customFormat="1" ht="18" customHeight="1" x14ac:dyDescent="0.2">
      <c r="A54" s="7"/>
      <c r="B54" s="99"/>
      <c r="C54" s="7">
        <v>0.57333694491603804</v>
      </c>
      <c r="D54" s="3">
        <v>0.35439587812026241</v>
      </c>
      <c r="E54" s="3">
        <v>0.63927824530118682</v>
      </c>
      <c r="F54" s="3">
        <v>1</v>
      </c>
      <c r="G54" s="8">
        <v>0.24257675112984123</v>
      </c>
      <c r="H54" s="3"/>
      <c r="I54" s="3"/>
      <c r="J54" s="7">
        <f ca="1"/>
        <v>0.22350221211105137</v>
      </c>
      <c r="K54" s="3">
        <f ca="1"/>
        <v>1</v>
      </c>
      <c r="L54" s="3">
        <f ca="1"/>
        <v>0.22312415919372053</v>
      </c>
      <c r="M54" s="3">
        <f ca="1"/>
        <v>0.32599199535962908</v>
      </c>
      <c r="N54" s="8">
        <f ca="1"/>
        <v>0.65436952533524595</v>
      </c>
      <c r="O54" s="3"/>
      <c r="P54" s="3"/>
      <c r="Q54" s="7">
        <f ca="1"/>
        <v>0.24257675112984123</v>
      </c>
      <c r="R54" s="3">
        <f ca="1"/>
        <v>1</v>
      </c>
      <c r="S54" s="3">
        <f ca="1"/>
        <v>0.63927824530118682</v>
      </c>
      <c r="T54" s="3">
        <f ca="1"/>
        <v>0.35439587812026241</v>
      </c>
      <c r="U54" s="8">
        <f ca="1"/>
        <v>0.57333694491603804</v>
      </c>
      <c r="V54" s="3"/>
      <c r="W54" s="3"/>
      <c r="X54" s="7">
        <f ca="1"/>
        <v>0.75499935792337303</v>
      </c>
      <c r="Y54" s="3">
        <f ca="1"/>
        <v>0.62467269752549093</v>
      </c>
      <c r="Z54" s="3">
        <f ca="1"/>
        <v>0.61091978164840366</v>
      </c>
      <c r="AA54" s="3">
        <f ca="1"/>
        <v>1</v>
      </c>
      <c r="AB54" s="8">
        <f ca="1"/>
        <v>0.62005283827156232</v>
      </c>
      <c r="AC54" s="3"/>
      <c r="AD54" s="3"/>
      <c r="AE54" s="7">
        <f ca="1"/>
        <v>0.5774628583375494</v>
      </c>
      <c r="AF54" s="3">
        <f ca="1"/>
        <v>0.32599199535962908</v>
      </c>
      <c r="AG54" s="3">
        <f ca="1"/>
        <v>0.62467269752549093</v>
      </c>
      <c r="AH54" s="3">
        <f ca="1"/>
        <v>0.35439587812026241</v>
      </c>
      <c r="AI54" s="8">
        <f ca="1"/>
        <v>1</v>
      </c>
      <c r="AJ54" s="3"/>
      <c r="AK54" s="3"/>
      <c r="AL54" s="7">
        <f ca="1"/>
        <v>0.65436952533524595</v>
      </c>
      <c r="AM54" s="3">
        <f ca="1"/>
        <v>0.32599199535962908</v>
      </c>
      <c r="AN54" s="3">
        <f ca="1"/>
        <v>0.22312415919372053</v>
      </c>
      <c r="AO54" s="3">
        <f ca="1"/>
        <v>1</v>
      </c>
      <c r="AP54" s="8">
        <f ca="1"/>
        <v>0.22350221211105137</v>
      </c>
      <c r="AQ54" s="3"/>
      <c r="AR54" s="3"/>
      <c r="AS54" s="7">
        <f ca="1"/>
        <v>0</v>
      </c>
      <c r="AT54" s="3">
        <f ca="1"/>
        <v>0.57333694491603804</v>
      </c>
      <c r="AU54" s="3">
        <f ca="1"/>
        <v>0.35439587812026241</v>
      </c>
      <c r="AV54" s="3">
        <f ca="1"/>
        <v>0.63927824530118682</v>
      </c>
      <c r="AW54" s="8">
        <f ca="1"/>
        <v>1</v>
      </c>
      <c r="AX54" s="3"/>
      <c r="AY54" s="3"/>
      <c r="AZ54" s="7">
        <f ca="1"/>
        <v>0.35439587812026241</v>
      </c>
      <c r="BA54" s="3">
        <f ca="1"/>
        <v>0.63927824530118682</v>
      </c>
      <c r="BB54" s="3">
        <f ca="1"/>
        <v>1</v>
      </c>
      <c r="BC54" s="3">
        <f ca="1"/>
        <v>0.24257675112984123</v>
      </c>
      <c r="BD54" s="8">
        <f ca="1"/>
        <v>0</v>
      </c>
      <c r="BE54" s="3"/>
      <c r="BG54" s="7">
        <f ca="1"/>
        <v>0.470511175014594</v>
      </c>
      <c r="BH54" s="3">
        <f ca="1"/>
        <v>1</v>
      </c>
      <c r="BI54" s="3">
        <f ca="1"/>
        <v>1</v>
      </c>
      <c r="BJ54" s="3">
        <f ca="1"/>
        <v>1</v>
      </c>
      <c r="BK54" s="8">
        <f ca="1"/>
        <v>0.48322132019641195</v>
      </c>
      <c r="BL54" s="3"/>
      <c r="BM54" s="3"/>
      <c r="BN54" s="7">
        <f ca="1"/>
        <v>1</v>
      </c>
      <c r="BO54" s="3">
        <f ca="1"/>
        <v>1</v>
      </c>
      <c r="BP54" s="3">
        <f ca="1"/>
        <v>1</v>
      </c>
      <c r="BQ54" s="3">
        <f ca="1"/>
        <v>1</v>
      </c>
      <c r="BR54" s="8">
        <f ca="1"/>
        <v>1</v>
      </c>
      <c r="BS54" s="3"/>
      <c r="BU54" s="7">
        <f ca="1"/>
        <v>0.72259654260519746</v>
      </c>
      <c r="BV54" s="3">
        <f ca="1"/>
        <v>0.34721172547723778</v>
      </c>
      <c r="BW54" s="3">
        <f ca="1"/>
        <v>0.65082938945333357</v>
      </c>
      <c r="BX54" s="3">
        <f ca="1"/>
        <v>0.9461178966836552</v>
      </c>
      <c r="BY54" s="8">
        <f ca="1"/>
        <v>0.10042218948426235</v>
      </c>
      <c r="CA54" s="29"/>
    </row>
    <row r="55" spans="1:79" s="1" customFormat="1" ht="18" customHeight="1" x14ac:dyDescent="0.2">
      <c r="A55" s="7"/>
      <c r="B55" s="99"/>
      <c r="C55" s="7">
        <v>0.75499935792337303</v>
      </c>
      <c r="D55" s="3">
        <v>0.62467269752549093</v>
      </c>
      <c r="E55" s="3">
        <v>0.61091978164840366</v>
      </c>
      <c r="F55" s="3">
        <v>1</v>
      </c>
      <c r="G55" s="8">
        <v>0.62005283827156232</v>
      </c>
      <c r="H55" s="3"/>
      <c r="I55" s="3"/>
      <c r="J55" s="7">
        <f ca="1"/>
        <v>0.62005283827156232</v>
      </c>
      <c r="K55" s="3">
        <f ca="1"/>
        <v>1</v>
      </c>
      <c r="L55" s="3">
        <f ca="1"/>
        <v>0.61091978164840366</v>
      </c>
      <c r="M55" s="3">
        <f ca="1"/>
        <v>0.62467269752549093</v>
      </c>
      <c r="N55" s="8">
        <f ca="1"/>
        <v>0.75499935792337303</v>
      </c>
      <c r="O55" s="3"/>
      <c r="P55" s="3"/>
      <c r="Q55" s="7">
        <f ca="1"/>
        <v>0.62005283827156232</v>
      </c>
      <c r="R55" s="3">
        <f ca="1"/>
        <v>1</v>
      </c>
      <c r="S55" s="3">
        <f ca="1"/>
        <v>0.61091978164840366</v>
      </c>
      <c r="T55" s="3">
        <f ca="1"/>
        <v>0.62467269752549093</v>
      </c>
      <c r="U55" s="8">
        <f ca="1"/>
        <v>0.75499935792337303</v>
      </c>
      <c r="V55" s="3"/>
      <c r="W55" s="3"/>
      <c r="X55" s="7">
        <f ca="1"/>
        <v>0.65436952533524595</v>
      </c>
      <c r="Y55" s="3">
        <f ca="1"/>
        <v>0.32599199535962908</v>
      </c>
      <c r="Z55" s="3">
        <f ca="1"/>
        <v>0.22312415919372053</v>
      </c>
      <c r="AA55" s="3">
        <f ca="1"/>
        <v>1</v>
      </c>
      <c r="AB55" s="8">
        <f ca="1"/>
        <v>0.22350221211105137</v>
      </c>
      <c r="AC55" s="3"/>
      <c r="AD55" s="3"/>
      <c r="AE55" s="7">
        <f ca="1"/>
        <v>0.51041624149965437</v>
      </c>
      <c r="AF55" s="3">
        <f ca="1"/>
        <v>0.22312415919372053</v>
      </c>
      <c r="AG55" s="3">
        <f ca="1"/>
        <v>0.61091978164840366</v>
      </c>
      <c r="AH55" s="3">
        <f ca="1"/>
        <v>0.63927824530118682</v>
      </c>
      <c r="AI55" s="8">
        <f ca="1"/>
        <v>1</v>
      </c>
      <c r="AJ55" s="3"/>
      <c r="AK55" s="3"/>
      <c r="AL55" s="7">
        <f ca="1"/>
        <v>0.75499935792337303</v>
      </c>
      <c r="AM55" s="3">
        <f ca="1"/>
        <v>0.62467269752549093</v>
      </c>
      <c r="AN55" s="3">
        <f ca="1"/>
        <v>0.61091978164840366</v>
      </c>
      <c r="AO55" s="3">
        <f ca="1"/>
        <v>1</v>
      </c>
      <c r="AP55" s="8">
        <f ca="1"/>
        <v>0.62005283827156232</v>
      </c>
      <c r="AQ55" s="3"/>
      <c r="AR55" s="3"/>
      <c r="AS55" s="7">
        <f ca="1"/>
        <v>0</v>
      </c>
      <c r="AT55" s="3">
        <f ca="1"/>
        <v>0.75499935792337303</v>
      </c>
      <c r="AU55" s="3">
        <f ca="1"/>
        <v>0.62467269752549093</v>
      </c>
      <c r="AV55" s="3">
        <f ca="1"/>
        <v>0.61091978164840366</v>
      </c>
      <c r="AW55" s="8">
        <f ca="1"/>
        <v>1</v>
      </c>
      <c r="AX55" s="3"/>
      <c r="AY55" s="3"/>
      <c r="AZ55" s="7">
        <f ca="1"/>
        <v>0.62467269752549093</v>
      </c>
      <c r="BA55" s="3">
        <f ca="1"/>
        <v>0.61091978164840366</v>
      </c>
      <c r="BB55" s="3">
        <f ca="1"/>
        <v>1</v>
      </c>
      <c r="BC55" s="3">
        <f ca="1"/>
        <v>0.62005283827156232</v>
      </c>
      <c r="BD55" s="8">
        <f ca="1"/>
        <v>0</v>
      </c>
      <c r="BE55" s="3"/>
      <c r="BG55" s="7">
        <f ca="1"/>
        <v>0.57333694491603804</v>
      </c>
      <c r="BH55" s="3">
        <f ca="1"/>
        <v>0.35439587812026241</v>
      </c>
      <c r="BI55" s="3">
        <f ca="1"/>
        <v>0.63927824530118682</v>
      </c>
      <c r="BJ55" s="3">
        <f ca="1"/>
        <v>1</v>
      </c>
      <c r="BK55" s="8">
        <f ca="1"/>
        <v>0.24257675112984123</v>
      </c>
      <c r="BL55" s="3"/>
      <c r="BM55" s="3"/>
      <c r="BN55" s="7">
        <f ca="1"/>
        <v>1</v>
      </c>
      <c r="BO55" s="3">
        <f ca="1"/>
        <v>0.63927824530118682</v>
      </c>
      <c r="BP55" s="3">
        <f ca="1"/>
        <v>0.61091978164840366</v>
      </c>
      <c r="BQ55" s="3">
        <f ca="1"/>
        <v>0.22312415919372053</v>
      </c>
      <c r="BR55" s="8">
        <f ca="1"/>
        <v>0.51041624149965437</v>
      </c>
      <c r="BS55" s="3"/>
      <c r="BU55" s="7">
        <f ca="1"/>
        <v>0.76330194883391289</v>
      </c>
      <c r="BV55" s="3">
        <f ca="1"/>
        <v>0.68806459129547715</v>
      </c>
      <c r="BW55" s="3">
        <f ca="1"/>
        <v>0.4693720614545317</v>
      </c>
      <c r="BX55" s="3">
        <f ca="1"/>
        <v>1</v>
      </c>
      <c r="BY55" s="8">
        <f ca="1"/>
        <v>0.7039367918262649</v>
      </c>
      <c r="CA55" s="29"/>
    </row>
    <row r="56" spans="1:79" s="1" customFormat="1" ht="18" customHeight="1" x14ac:dyDescent="0.2">
      <c r="A56" s="7"/>
      <c r="B56" s="99"/>
      <c r="C56" s="7">
        <v>0.65436952533524595</v>
      </c>
      <c r="D56" s="3">
        <v>0.32599199535962908</v>
      </c>
      <c r="E56" s="3">
        <v>0.22312415919372053</v>
      </c>
      <c r="F56" s="3">
        <v>1</v>
      </c>
      <c r="G56" s="8">
        <v>0.22350221211105137</v>
      </c>
      <c r="H56" s="3"/>
      <c r="I56" s="3"/>
      <c r="J56" s="7">
        <f ca="1"/>
        <v>0.24257675112984123</v>
      </c>
      <c r="K56" s="3">
        <f ca="1"/>
        <v>1</v>
      </c>
      <c r="L56" s="3">
        <f ca="1"/>
        <v>0.63927824530118682</v>
      </c>
      <c r="M56" s="3">
        <f ca="1"/>
        <v>0.35439587812026241</v>
      </c>
      <c r="N56" s="8">
        <f ca="1"/>
        <v>0.57333694491603804</v>
      </c>
      <c r="O56" s="3"/>
      <c r="P56" s="3"/>
      <c r="Q56" s="7">
        <f ca="1"/>
        <v>0.22350221211105137</v>
      </c>
      <c r="R56" s="3">
        <f ca="1"/>
        <v>1</v>
      </c>
      <c r="S56" s="3">
        <f ca="1"/>
        <v>0.22312415919372053</v>
      </c>
      <c r="T56" s="3">
        <f ca="1"/>
        <v>0.32599199535962908</v>
      </c>
      <c r="U56" s="8">
        <f ca="1"/>
        <v>0.65436952533524595</v>
      </c>
      <c r="V56" s="3"/>
      <c r="W56" s="3"/>
      <c r="X56" s="7">
        <f ca="1"/>
        <v>0.32833756171622042</v>
      </c>
      <c r="Y56" s="3">
        <f ca="1"/>
        <v>0.5774628583375494</v>
      </c>
      <c r="Z56" s="3">
        <f ca="1"/>
        <v>0.51041624149965437</v>
      </c>
      <c r="AA56" s="3">
        <f ca="1"/>
        <v>1</v>
      </c>
      <c r="AB56" s="8">
        <f ca="1"/>
        <v>0.24099404484760434</v>
      </c>
      <c r="AC56" s="3"/>
      <c r="AD56" s="3"/>
      <c r="AE56" s="7">
        <f ca="1"/>
        <v>1</v>
      </c>
      <c r="AF56" s="3">
        <f ca="1"/>
        <v>1</v>
      </c>
      <c r="AG56" s="3">
        <f ca="1"/>
        <v>1</v>
      </c>
      <c r="AH56" s="3">
        <f ca="1"/>
        <v>1</v>
      </c>
      <c r="AI56" s="8">
        <f ca="1"/>
        <v>1</v>
      </c>
      <c r="AJ56" s="3"/>
      <c r="AK56" s="3"/>
      <c r="AL56" s="7">
        <f ca="1"/>
        <v>0.57333694491603804</v>
      </c>
      <c r="AM56" s="3">
        <f ca="1"/>
        <v>0.35439587812026241</v>
      </c>
      <c r="AN56" s="3">
        <f ca="1"/>
        <v>0.63927824530118682</v>
      </c>
      <c r="AO56" s="3">
        <f ca="1"/>
        <v>1</v>
      </c>
      <c r="AP56" s="8">
        <f ca="1"/>
        <v>0.24257675112984123</v>
      </c>
      <c r="AQ56" s="3"/>
      <c r="AR56" s="3"/>
      <c r="AS56" s="7">
        <f ca="1"/>
        <v>0</v>
      </c>
      <c r="AT56" s="3">
        <f ca="1"/>
        <v>0.65436952533524595</v>
      </c>
      <c r="AU56" s="3">
        <f ca="1"/>
        <v>0.32599199535962908</v>
      </c>
      <c r="AV56" s="3">
        <f ca="1"/>
        <v>0.22312415919372053</v>
      </c>
      <c r="AW56" s="8">
        <f ca="1"/>
        <v>1</v>
      </c>
      <c r="AX56" s="3"/>
      <c r="AY56" s="3"/>
      <c r="AZ56" s="7">
        <f ca="1"/>
        <v>0.32599199535962908</v>
      </c>
      <c r="BA56" s="3">
        <f ca="1"/>
        <v>0.22312415919372053</v>
      </c>
      <c r="BB56" s="3">
        <f ca="1"/>
        <v>1</v>
      </c>
      <c r="BC56" s="3">
        <f ca="1"/>
        <v>0.22350221211105137</v>
      </c>
      <c r="BD56" s="8">
        <f ca="1"/>
        <v>0</v>
      </c>
      <c r="BE56" s="3"/>
      <c r="BG56" s="7">
        <f ca="1"/>
        <v>0.75499935792337303</v>
      </c>
      <c r="BH56" s="3">
        <f ca="1"/>
        <v>0.62467269752549093</v>
      </c>
      <c r="BI56" s="3">
        <f ca="1"/>
        <v>0.61091978164840366</v>
      </c>
      <c r="BJ56" s="3">
        <f ca="1"/>
        <v>1</v>
      </c>
      <c r="BK56" s="8">
        <f ca="1"/>
        <v>0.62005283827156232</v>
      </c>
      <c r="BL56" s="3"/>
      <c r="BM56" s="3"/>
      <c r="BN56" s="7">
        <f ca="1"/>
        <v>1</v>
      </c>
      <c r="BO56" s="3">
        <f ca="1"/>
        <v>0.35439587812026241</v>
      </c>
      <c r="BP56" s="3">
        <f ca="1"/>
        <v>0.62467269752549093</v>
      </c>
      <c r="BQ56" s="3">
        <f ca="1"/>
        <v>0.32599199535962908</v>
      </c>
      <c r="BR56" s="8">
        <f ca="1"/>
        <v>0.5774628583375494</v>
      </c>
      <c r="BS56" s="3"/>
      <c r="BU56" s="7">
        <f ca="1"/>
        <v>0.48976352230204023</v>
      </c>
      <c r="BV56" s="3">
        <f ca="1"/>
        <v>0.34948738240782912</v>
      </c>
      <c r="BW56" s="3">
        <f ca="1"/>
        <v>0.33118806689083891</v>
      </c>
      <c r="BX56" s="3">
        <f ca="1"/>
        <v>0.81848406894974235</v>
      </c>
      <c r="BY56" s="8">
        <f ca="1"/>
        <v>0.14369356152251972</v>
      </c>
      <c r="CA56" s="29"/>
    </row>
    <row r="57" spans="1:79" s="1" customFormat="1" ht="18" customHeight="1" thickBot="1" x14ac:dyDescent="0.25">
      <c r="A57" s="7"/>
      <c r="B57" s="99"/>
      <c r="C57" s="9">
        <v>0.32833756171622042</v>
      </c>
      <c r="D57" s="10">
        <v>0.5774628583375494</v>
      </c>
      <c r="E57" s="10">
        <v>0.51041624149965437</v>
      </c>
      <c r="F57" s="10">
        <v>1</v>
      </c>
      <c r="G57" s="11">
        <v>0.24099404484760434</v>
      </c>
      <c r="H57" s="3"/>
      <c r="I57" s="3"/>
      <c r="J57" s="9">
        <f ca="1"/>
        <v>0.48322132019641195</v>
      </c>
      <c r="K57" s="10">
        <f ca="1"/>
        <v>1</v>
      </c>
      <c r="L57" s="10">
        <f ca="1"/>
        <v>1</v>
      </c>
      <c r="M57" s="10">
        <f ca="1"/>
        <v>1</v>
      </c>
      <c r="N57" s="11">
        <f ca="1"/>
        <v>0.470511175014594</v>
      </c>
      <c r="O57" s="3"/>
      <c r="P57" s="3"/>
      <c r="Q57" s="9">
        <f ca="1"/>
        <v>0.24099404484760434</v>
      </c>
      <c r="R57" s="10">
        <f ca="1"/>
        <v>1</v>
      </c>
      <c r="S57" s="10">
        <f ca="1"/>
        <v>0.51041624149965437</v>
      </c>
      <c r="T57" s="10">
        <f ca="1"/>
        <v>0.5774628583375494</v>
      </c>
      <c r="U57" s="11">
        <f ca="1"/>
        <v>0.32833756171622042</v>
      </c>
      <c r="V57" s="3"/>
      <c r="W57" s="3"/>
      <c r="X57" s="9">
        <f ca="1"/>
        <v>0</v>
      </c>
      <c r="Y57" s="10">
        <f ca="1"/>
        <v>0</v>
      </c>
      <c r="Z57" s="10">
        <f ca="1"/>
        <v>0</v>
      </c>
      <c r="AA57" s="10">
        <f ca="1"/>
        <v>0</v>
      </c>
      <c r="AB57" s="11">
        <f ca="1"/>
        <v>0</v>
      </c>
      <c r="AC57" s="3"/>
      <c r="AD57" s="3"/>
      <c r="AE57" s="9">
        <f ca="1"/>
        <v>0.24099404484760434</v>
      </c>
      <c r="AF57" s="10">
        <f ca="1"/>
        <v>0.22350221211105137</v>
      </c>
      <c r="AG57" s="10">
        <f ca="1"/>
        <v>0.62005283827156232</v>
      </c>
      <c r="AH57" s="10">
        <f ca="1"/>
        <v>0.24257675112984123</v>
      </c>
      <c r="AI57" s="11">
        <f ca="1"/>
        <v>0.48322132019641195</v>
      </c>
      <c r="AJ57" s="3"/>
      <c r="AK57" s="3"/>
      <c r="AL57" s="9">
        <f ca="1"/>
        <v>0.470511175014594</v>
      </c>
      <c r="AM57" s="10">
        <f ca="1"/>
        <v>1</v>
      </c>
      <c r="AN57" s="10">
        <f ca="1"/>
        <v>1</v>
      </c>
      <c r="AO57" s="10">
        <f ca="1"/>
        <v>1</v>
      </c>
      <c r="AP57" s="11">
        <f ca="1"/>
        <v>0.48322132019641195</v>
      </c>
      <c r="AQ57" s="3"/>
      <c r="AR57" s="3"/>
      <c r="AS57" s="9">
        <f ca="1"/>
        <v>0</v>
      </c>
      <c r="AT57" s="10">
        <f ca="1"/>
        <v>0.32833756171622042</v>
      </c>
      <c r="AU57" s="10">
        <f ca="1"/>
        <v>0.5774628583375494</v>
      </c>
      <c r="AV57" s="10">
        <f ca="1"/>
        <v>0.51041624149965437</v>
      </c>
      <c r="AW57" s="11">
        <f ca="1"/>
        <v>1</v>
      </c>
      <c r="AX57" s="3"/>
      <c r="AY57" s="3"/>
      <c r="AZ57" s="9">
        <f ca="1"/>
        <v>0.5774628583375494</v>
      </c>
      <c r="BA57" s="10">
        <f ca="1"/>
        <v>0.51041624149965437</v>
      </c>
      <c r="BB57" s="10">
        <f ca="1"/>
        <v>1</v>
      </c>
      <c r="BC57" s="10">
        <f ca="1"/>
        <v>0.24099404484760434</v>
      </c>
      <c r="BD57" s="11">
        <f ca="1"/>
        <v>0</v>
      </c>
      <c r="BE57" s="3"/>
      <c r="BG57" s="9">
        <f ca="1"/>
        <v>0.65436952533524595</v>
      </c>
      <c r="BH57" s="10">
        <f ca="1"/>
        <v>0.32599199535962908</v>
      </c>
      <c r="BI57" s="10">
        <f ca="1"/>
        <v>0.22312415919372053</v>
      </c>
      <c r="BJ57" s="10">
        <f ca="1"/>
        <v>1</v>
      </c>
      <c r="BK57" s="11">
        <f ca="1"/>
        <v>0.22350221211105137</v>
      </c>
      <c r="BL57" s="3"/>
      <c r="BM57" s="3"/>
      <c r="BN57" s="9">
        <f ca="1"/>
        <v>0.470511175014594</v>
      </c>
      <c r="BO57" s="10">
        <f ca="1"/>
        <v>0.57333694491603804</v>
      </c>
      <c r="BP57" s="10">
        <f ca="1"/>
        <v>0.75499935792337303</v>
      </c>
      <c r="BQ57" s="10">
        <f ca="1"/>
        <v>0.65436952533524595</v>
      </c>
      <c r="BR57" s="11">
        <f ca="1"/>
        <v>0.32833756171622042</v>
      </c>
      <c r="BS57" s="3"/>
      <c r="BU57" s="9">
        <f ca="1"/>
        <v>0.2729705615479382</v>
      </c>
      <c r="BV57" s="10">
        <f ca="1"/>
        <v>0.73873030171322984</v>
      </c>
      <c r="BW57" s="10">
        <f ca="1"/>
        <v>0.32631202525912628</v>
      </c>
      <c r="BX57" s="10">
        <f ca="1"/>
        <v>1</v>
      </c>
      <c r="BY57" s="11">
        <f ca="1"/>
        <v>0.28239518139812386</v>
      </c>
      <c r="CA57" s="29"/>
    </row>
    <row r="58" spans="1:79" s="1" customFormat="1" ht="18" customHeight="1" x14ac:dyDescent="0.2">
      <c r="A58" s="7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U58" s="3"/>
      <c r="BV58" s="3"/>
      <c r="BW58" s="3"/>
      <c r="BX58" s="3"/>
      <c r="BY58" s="3"/>
      <c r="CA58" s="29"/>
    </row>
    <row r="59" spans="1:79" s="1" customFormat="1" ht="18" customHeight="1" thickBot="1" x14ac:dyDescent="0.25">
      <c r="A59" s="7"/>
      <c r="B59" s="99">
        <v>8</v>
      </c>
      <c r="C59" s="97" t="s">
        <v>12</v>
      </c>
      <c r="D59" s="97"/>
      <c r="E59" s="97"/>
      <c r="F59" s="97"/>
      <c r="G59" s="97"/>
      <c r="H59" s="28"/>
      <c r="I59" s="3"/>
      <c r="J59" s="97" t="str" cm="1">
        <f t="array" aca="1" ref="J59" ca="1">INDEX(Helper!$E$13:$E$22, OFFSET(Helper!$J$13,$B59,J$2))</f>
        <v>Shift Left</v>
      </c>
      <c r="K59" s="97"/>
      <c r="L59" s="97"/>
      <c r="M59" s="97"/>
      <c r="N59" s="97"/>
      <c r="O59" s="3"/>
      <c r="P59" s="3"/>
      <c r="Q59" s="97" t="str" cm="1">
        <f t="array" aca="1" ref="Q59" ca="1">INDEX(Helper!$E$13:$E$22, OFFSET(Helper!$J$13,$B59,Q$2))</f>
        <v>Vertical Flip</v>
      </c>
      <c r="R59" s="97"/>
      <c r="S59" s="97"/>
      <c r="T59" s="97"/>
      <c r="U59" s="97"/>
      <c r="V59" s="3"/>
      <c r="W59" s="3"/>
      <c r="X59" s="97" t="str" cm="1">
        <f t="array" aca="1" ref="X59" ca="1">INDEX(Helper!$E$13:$E$22, OFFSET(Helper!$J$13,$B59,X$2))</f>
        <v>Shift Down</v>
      </c>
      <c r="Y59" s="97"/>
      <c r="Z59" s="97"/>
      <c r="AA59" s="97"/>
      <c r="AB59" s="97"/>
      <c r="AC59" s="3"/>
      <c r="AD59" s="3"/>
      <c r="AE59" s="97" t="str" cm="1">
        <f t="array" aca="1" ref="AE59" ca="1">INDEX(Helper!$E$13:$E$22, OFFSET(Helper!$J$13,$B59,AE$2))</f>
        <v>Shift Up</v>
      </c>
      <c r="AF59" s="97"/>
      <c r="AG59" s="97"/>
      <c r="AH59" s="97"/>
      <c r="AI59" s="97"/>
      <c r="AJ59" s="3"/>
      <c r="AK59" s="3"/>
      <c r="AL59" s="97" t="str" cm="1">
        <f t="array" aca="1" ref="AL59" ca="1">INDEX(Helper!$E$13:$E$22, OFFSET(Helper!$J$13,$B59,AL$2))</f>
        <v>90 CCW</v>
      </c>
      <c r="AM59" s="97"/>
      <c r="AN59" s="97"/>
      <c r="AO59" s="97"/>
      <c r="AP59" s="97"/>
      <c r="AQ59" s="3"/>
      <c r="AR59" s="3"/>
      <c r="AS59" s="97" t="str" cm="1">
        <f t="array" aca="1" ref="AS59" ca="1">INDEX(Helper!$E$13:$E$22, OFFSET(Helper!$J$13,$B59,AS$2))</f>
        <v>Shift Right</v>
      </c>
      <c r="AT59" s="97"/>
      <c r="AU59" s="97"/>
      <c r="AV59" s="97"/>
      <c r="AW59" s="97"/>
      <c r="AX59" s="3"/>
      <c r="AY59" s="3"/>
      <c r="AZ59" s="97" t="str" cm="1">
        <f t="array" aca="1" ref="AZ59" ca="1">INDEX(Helper!$E$13:$E$22, OFFSET(Helper!$J$13,$B59,AZ$2))</f>
        <v>90 CW</v>
      </c>
      <c r="BA59" s="97"/>
      <c r="BB59" s="97"/>
      <c r="BC59" s="97"/>
      <c r="BD59" s="97"/>
      <c r="BE59" s="3"/>
      <c r="BG59" s="97" t="str" cm="1">
        <f t="array" aca="1" ref="BG59" ca="1">INDEX(Helper!$E$13:$E$22, OFFSET(Helper!$J$13,$B59,BG$2))</f>
        <v>180 Rotation</v>
      </c>
      <c r="BH59" s="97"/>
      <c r="BI59" s="97"/>
      <c r="BJ59" s="97"/>
      <c r="BK59" s="97"/>
      <c r="BL59" s="3"/>
      <c r="BM59" s="3"/>
      <c r="BN59" s="97" t="str" cm="1">
        <f t="array" aca="1" ref="BN59" ca="1">INDEX(Helper!$E$13:$E$22, OFFSET(Helper!$J$13,$B59,BN$2))</f>
        <v>Noise</v>
      </c>
      <c r="BO59" s="97"/>
      <c r="BP59" s="97"/>
      <c r="BQ59" s="97"/>
      <c r="BR59" s="97"/>
      <c r="BS59" s="3"/>
      <c r="BU59" s="97" t="str" cm="1">
        <f t="array" aca="1" ref="BU59" ca="1">INDEX(Helper!$E$13:$E$22, OFFSET(Helper!$J$13,$B59,BU$2))</f>
        <v>Horizontal Flip</v>
      </c>
      <c r="BV59" s="97"/>
      <c r="BW59" s="97"/>
      <c r="BX59" s="97"/>
      <c r="BY59" s="97"/>
      <c r="CA59" s="29"/>
    </row>
    <row r="60" spans="1:79" s="1" customFormat="1" ht="18" customHeight="1" x14ac:dyDescent="0.2">
      <c r="A60" s="7"/>
      <c r="B60" s="99"/>
      <c r="C60" s="4">
        <v>0.5856674842483911</v>
      </c>
      <c r="D60" s="5">
        <v>1</v>
      </c>
      <c r="E60" s="5">
        <v>1</v>
      </c>
      <c r="F60" s="5">
        <v>1</v>
      </c>
      <c r="G60" s="6">
        <v>0.47057062491834412</v>
      </c>
      <c r="H60" s="3"/>
      <c r="I60" s="3"/>
      <c r="J60" s="4" cm="1">
        <f t="array" aca="1" ref="J60:N64" ca="1">_xlfn.IFS(J59="None",  $C60:$G64*0,           J59="Horizontal Flip", INDEX($C60:$G64, _xlfn.SEQUENCE(5), 6 - _xlfn.SEQUENCE(1,5)),        J59="Vertical Flip", INDEX($C60:$G64, 6 - _xlfn.SEQUENCE(5), _xlfn.SEQUENCE(1,5)),      J59="180 Rotation", INDEX($C60:$G64, 6 - _xlfn.SEQUENCE(5), 6 - _xlfn.SEQUENCE(1,5)),        J59="90 CW", INDEX($C60:$G64, 6 - _xlfn.SEQUENCE(1,5), _xlfn.SEQUENCE(5)),          J59="90 CCW", INDEX($C60:$G64, _xlfn.SEQUENCE(1,5), 6 - _xlfn.SEQUENCE(5)),         J59="Shift Up", IF(_xlfn.SEQUENCE(5)+1&lt;=5, INDEX($C60:$G64, _xlfn.SEQUENCE(5)+1, _xlfn.SEQUENCE(1,5)), 0),         J59="Shift Down", IF(_xlfn.SEQUENCE(5)-1&gt;=1, INDEX($C60:$G64, _xlfn.SEQUENCE(5)-1, _xlfn.SEQUENCE(1,5)), 0),         J59="Shift Left",   IF(_xlfn.SEQUENCE(1,5)+1&lt;=5, INDEX($C60:$G64, _xlfn.SEQUENCE(5), _xlfn.SEQUENCE(1,5)+1),0),         J59= "Shift Right",  IF(_xlfn.SEQUENCE(1,5)-1&gt;=1, INDEX($C60:$G64, _xlfn.SEQUENCE(5), _xlfn.SEQUENCE(1,5)-1), 0),        J59="Noise",  _xlfn.MAP($C60:$G64 + (_xlfn.RANDARRAY(ROWS($C60:$G64), COLUMNS($C60:$G64)) - 0.5) * 0.4, _xlfn.LAMBDA(_xlpm.x, MAX(0, MIN(1, _xlpm.x)))))</f>
        <v>1</v>
      </c>
      <c r="K60" s="5">
        <f ca="1"/>
        <v>1</v>
      </c>
      <c r="L60" s="5">
        <f ca="1"/>
        <v>1</v>
      </c>
      <c r="M60" s="5">
        <f ca="1"/>
        <v>0.47057062491834412</v>
      </c>
      <c r="N60" s="6">
        <f ca="1"/>
        <v>0</v>
      </c>
      <c r="O60" s="3"/>
      <c r="P60" s="3"/>
      <c r="Q60" s="4" cm="1">
        <f t="array" aca="1" ref="Q60:U64" ca="1">_xlfn.IFS(Q59="None",  $C60:$G64*0,           Q59="Horizontal Flip", INDEX($C60:$G64, _xlfn.SEQUENCE(5), 6 - _xlfn.SEQUENCE(1,5)),        Q59="Vertical Flip", INDEX($C60:$G64, 6 - _xlfn.SEQUENCE(5), _xlfn.SEQUENCE(1,5)),      Q59="180 Rotation", INDEX($C60:$G64, 6 - _xlfn.SEQUENCE(5), 6 - _xlfn.SEQUENCE(1,5)),        Q59="90 CW", INDEX($C60:$G64, 6 - _xlfn.SEQUENCE(1,5), _xlfn.SEQUENCE(5)),          Q59="90 CCW", INDEX($C60:$G64, _xlfn.SEQUENCE(1,5), 6 - _xlfn.SEQUENCE(5)),         Q59="Shift Up", IF(_xlfn.SEQUENCE(5)+1&lt;=5, INDEX($C60:$G64, _xlfn.SEQUENCE(5)+1, _xlfn.SEQUENCE(1,5)), 0),         Q59="Shift Down", IF(_xlfn.SEQUENCE(5)-1&gt;=1, INDEX($C60:$G64, _xlfn.SEQUENCE(5)-1, _xlfn.SEQUENCE(1,5)), 0),         Q59="Shift Left",   IF(_xlfn.SEQUENCE(1,5)+1&lt;=5, INDEX($C60:$G64, _xlfn.SEQUENCE(5), _xlfn.SEQUENCE(1,5)+1),0),         Q59= "Shift Right",  IF(_xlfn.SEQUENCE(1,5)-1&gt;=1, INDEX($C60:$G64, _xlfn.SEQUENCE(5), _xlfn.SEQUENCE(1,5)-1), 0),        Q59="Noise",  _xlfn.MAP($C60:$G64 + (_xlfn.RANDARRAY(ROWS($C60:$G64), COLUMNS($C60:$G64)) - 0.5) * 0.4, _xlfn.LAMBDA(_xlpm.x, MAX(0, MIN(1, _xlpm.x)))))</f>
        <v>0.39234062054446517</v>
      </c>
      <c r="R60" s="5">
        <f ca="1"/>
        <v>1</v>
      </c>
      <c r="S60" s="5">
        <f ca="1"/>
        <v>1</v>
      </c>
      <c r="T60" s="5">
        <f ca="1"/>
        <v>1</v>
      </c>
      <c r="U60" s="6">
        <f ca="1"/>
        <v>0.51859300964167188</v>
      </c>
      <c r="V60" s="3"/>
      <c r="W60" s="3"/>
      <c r="X60" s="4" cm="1">
        <f t="array" aca="1" ref="X60:AB64" ca="1">_xlfn.IFS(X59="None",  $C60:$G64*0,           X59="Horizontal Flip", INDEX($C60:$G64, _xlfn.SEQUENCE(5), 6 - _xlfn.SEQUENCE(1,5)),        X59="Vertical Flip", INDEX($C60:$G64, 6 - _xlfn.SEQUENCE(5), _xlfn.SEQUENCE(1,5)),      X59="180 Rotation", INDEX($C60:$G64, 6 - _xlfn.SEQUENCE(5), 6 - _xlfn.SEQUENCE(1,5)),        X59="90 CW", INDEX($C60:$G64, 6 - _xlfn.SEQUENCE(1,5), _xlfn.SEQUENCE(5)),          X59="90 CCW", INDEX($C60:$G64, _xlfn.SEQUENCE(1,5), 6 - _xlfn.SEQUENCE(5)),         X59="Shift Up", IF(_xlfn.SEQUENCE(5)+1&lt;=5, INDEX($C60:$G64, _xlfn.SEQUENCE(5)+1, _xlfn.SEQUENCE(1,5)), 0),         X59="Shift Down", IF(_xlfn.SEQUENCE(5)-1&gt;=1, INDEX($C60:$G64, _xlfn.SEQUENCE(5)-1, _xlfn.SEQUENCE(1,5)), 0),         X59="Shift Left",   IF(_xlfn.SEQUENCE(1,5)+1&lt;=5, INDEX($C60:$G64, _xlfn.SEQUENCE(5), _xlfn.SEQUENCE(1,5)+1),0),         X59= "Shift Right",  IF(_xlfn.SEQUENCE(1,5)-1&gt;=1, INDEX($C60:$G64, _xlfn.SEQUENCE(5), _xlfn.SEQUENCE(1,5)-1), 0),        X59="Noise",  _xlfn.MAP($C60:$G64 + (_xlfn.RANDARRAY(ROWS($C60:$G64), COLUMNS($C60:$G64)) - 0.5) * 0.4, _xlfn.LAMBDA(_xlpm.x, MAX(0, MIN(1, _xlpm.x)))))</f>
        <v>0</v>
      </c>
      <c r="Y60" s="5">
        <f ca="1"/>
        <v>0</v>
      </c>
      <c r="Z60" s="5">
        <f ca="1"/>
        <v>0</v>
      </c>
      <c r="AA60" s="5">
        <f ca="1"/>
        <v>0</v>
      </c>
      <c r="AB60" s="6">
        <f ca="1"/>
        <v>0</v>
      </c>
      <c r="AC60" s="3"/>
      <c r="AD60" s="3"/>
      <c r="AE60" s="4" cm="1">
        <f t="array" aca="1" ref="AE60:AI64" ca="1">_xlfn.IFS(AE59="None",  $C60:$G64*0,           AE59="Horizontal Flip", INDEX($C60:$G64, _xlfn.SEQUENCE(5), 6 - _xlfn.SEQUENCE(1,5)),        AE59="Vertical Flip", INDEX($C60:$G64, 6 - _xlfn.SEQUENCE(5), _xlfn.SEQUENCE(1,5)),      AE59="180 Rotation", INDEX($C60:$G64, 6 - _xlfn.SEQUENCE(5), 6 - _xlfn.SEQUENCE(1,5)),        AE59="90 CW", INDEX($C60:$G64, 6 - _xlfn.SEQUENCE(1,5), _xlfn.SEQUENCE(5)),          AE59="90 CCW", INDEX($C60:$G64, _xlfn.SEQUENCE(1,5), 6 - _xlfn.SEQUENCE(5)),         AE59="Shift Up", IF(_xlfn.SEQUENCE(5)+1&lt;=5, INDEX($C60:$G64, _xlfn.SEQUENCE(5)+1, _xlfn.SEQUENCE(1,5)), 0),         AE59="Shift Down", IF(_xlfn.SEQUENCE(5)-1&gt;=1, INDEX($C60:$G64, _xlfn.SEQUENCE(5)-1, _xlfn.SEQUENCE(1,5)), 0),         AE59="Shift Left",   IF(_xlfn.SEQUENCE(1,5)+1&lt;=5, INDEX($C60:$G64, _xlfn.SEQUENCE(5), _xlfn.SEQUENCE(1,5)+1),0),         AE59= "Shift Right",  IF(_xlfn.SEQUENCE(1,5)-1&gt;=1, INDEX($C60:$G64, _xlfn.SEQUENCE(5), _xlfn.SEQUENCE(1,5)-1), 0),        AE59="Noise",  _xlfn.MAP($C60:$G64 + (_xlfn.RANDARRAY(ROWS($C60:$G64), COLUMNS($C60:$G64)) - 0.5) * 0.4, _xlfn.LAMBDA(_xlpm.x, MAX(0, MIN(1, _xlpm.x)))))</f>
        <v>0.35891603721293253</v>
      </c>
      <c r="AF60" s="5">
        <f ca="1"/>
        <v>1</v>
      </c>
      <c r="AG60" s="5">
        <f ca="1"/>
        <v>0.64616898336424389</v>
      </c>
      <c r="AH60" s="5">
        <f ca="1"/>
        <v>1</v>
      </c>
      <c r="AI60" s="6">
        <f ca="1"/>
        <v>0.48459652030447498</v>
      </c>
      <c r="AJ60" s="3"/>
      <c r="AK60" s="3"/>
      <c r="AL60" s="4" cm="1">
        <f t="array" aca="1" ref="AL60:AP64" ca="1">_xlfn.IFS(AL59="None",  $C60:$G64*0,           AL59="Horizontal Flip", INDEX($C60:$G64, _xlfn.SEQUENCE(5), 6 - _xlfn.SEQUENCE(1,5)),        AL59="Vertical Flip", INDEX($C60:$G64, 6 - _xlfn.SEQUENCE(5), _xlfn.SEQUENCE(1,5)),      AL59="180 Rotation", INDEX($C60:$G64, 6 - _xlfn.SEQUENCE(5), 6 - _xlfn.SEQUENCE(1,5)),        AL59="90 CW", INDEX($C60:$G64, 6 - _xlfn.SEQUENCE(1,5), _xlfn.SEQUENCE(5)),          AL59="90 CCW", INDEX($C60:$G64, _xlfn.SEQUENCE(1,5), 6 - _xlfn.SEQUENCE(5)),         AL59="Shift Up", IF(_xlfn.SEQUENCE(5)+1&lt;=5, INDEX($C60:$G64, _xlfn.SEQUENCE(5)+1, _xlfn.SEQUENCE(1,5)), 0),         AL59="Shift Down", IF(_xlfn.SEQUENCE(5)-1&gt;=1, INDEX($C60:$G64, _xlfn.SEQUENCE(5)-1, _xlfn.SEQUENCE(1,5)), 0),         AL59="Shift Left",   IF(_xlfn.SEQUENCE(1,5)+1&lt;=5, INDEX($C60:$G64, _xlfn.SEQUENCE(5), _xlfn.SEQUENCE(1,5)+1),0),         AL59= "Shift Right",  IF(_xlfn.SEQUENCE(1,5)-1&gt;=1, INDEX($C60:$G64, _xlfn.SEQUENCE(5), _xlfn.SEQUENCE(1,5)-1), 0),        AL59="Noise",  _xlfn.MAP($C60:$G64 + (_xlfn.RANDARRAY(ROWS($C60:$G64), COLUMNS($C60:$G64)) - 0.5) * 0.4, _xlfn.LAMBDA(_xlpm.x, MAX(0, MIN(1, _xlpm.x)))))</f>
        <v>0.47057062491834412</v>
      </c>
      <c r="AM60" s="5">
        <f ca="1"/>
        <v>0.48459652030447498</v>
      </c>
      <c r="AN60" s="5">
        <f ca="1"/>
        <v>0.15381588292190895</v>
      </c>
      <c r="AO60" s="5">
        <f ca="1"/>
        <v>0.62948157681499672</v>
      </c>
      <c r="AP60" s="6">
        <f ca="1"/>
        <v>0.51859300964167188</v>
      </c>
      <c r="AQ60" s="3"/>
      <c r="AR60" s="3"/>
      <c r="AS60" s="4" cm="1">
        <f t="array" aca="1" ref="AS60:AW64" ca="1">_xlfn.IFS(AS59="None",  $C60:$G64*0,           AS59="Horizontal Flip", INDEX($C60:$G64, _xlfn.SEQUENCE(5), 6 - _xlfn.SEQUENCE(1,5)),        AS59="Vertical Flip", INDEX($C60:$G64, 6 - _xlfn.SEQUENCE(5), _xlfn.SEQUENCE(1,5)),      AS59="180 Rotation", INDEX($C60:$G64, 6 - _xlfn.SEQUENCE(5), 6 - _xlfn.SEQUENCE(1,5)),        AS59="90 CW", INDEX($C60:$G64, 6 - _xlfn.SEQUENCE(1,5), _xlfn.SEQUENCE(5)),          AS59="90 CCW", INDEX($C60:$G64, _xlfn.SEQUENCE(1,5), 6 - _xlfn.SEQUENCE(5)),         AS59="Shift Up", IF(_xlfn.SEQUENCE(5)+1&lt;=5, INDEX($C60:$G64, _xlfn.SEQUENCE(5)+1, _xlfn.SEQUENCE(1,5)), 0),         AS59="Shift Down", IF(_xlfn.SEQUENCE(5)-1&gt;=1, INDEX($C60:$G64, _xlfn.SEQUENCE(5)-1, _xlfn.SEQUENCE(1,5)), 0),         AS59="Shift Left",   IF(_xlfn.SEQUENCE(1,5)+1&lt;=5, INDEX($C60:$G64, _xlfn.SEQUENCE(5), _xlfn.SEQUENCE(1,5)+1),0),         AS59= "Shift Right",  IF(_xlfn.SEQUENCE(1,5)-1&gt;=1, INDEX($C60:$G64, _xlfn.SEQUENCE(5), _xlfn.SEQUENCE(1,5)-1), 0),        AS59="Noise",  _xlfn.MAP($C60:$G64 + (_xlfn.RANDARRAY(ROWS($C60:$G64), COLUMNS($C60:$G64)) - 0.5) * 0.4, _xlfn.LAMBDA(_xlpm.x, MAX(0, MIN(1, _xlpm.x)))))</f>
        <v>0</v>
      </c>
      <c r="AT60" s="5">
        <f ca="1"/>
        <v>0.5856674842483911</v>
      </c>
      <c r="AU60" s="5">
        <f ca="1"/>
        <v>1</v>
      </c>
      <c r="AV60" s="5">
        <f ca="1"/>
        <v>1</v>
      </c>
      <c r="AW60" s="6">
        <f ca="1"/>
        <v>1</v>
      </c>
      <c r="AX60" s="3"/>
      <c r="AY60" s="3"/>
      <c r="AZ60" s="4" cm="1">
        <f t="array" aca="1" ref="AZ60:BD64" ca="1">_xlfn.IFS(AZ59="None",  $C60:$G64*0,           AZ59="Horizontal Flip", INDEX($C60:$G64, _xlfn.SEQUENCE(5), 6 - _xlfn.SEQUENCE(1,5)),        AZ59="Vertical Flip", INDEX($C60:$G64, 6 - _xlfn.SEQUENCE(5), _xlfn.SEQUENCE(1,5)),      AZ59="180 Rotation", INDEX($C60:$G64, 6 - _xlfn.SEQUENCE(5), 6 - _xlfn.SEQUENCE(1,5)),        AZ59="90 CW", INDEX($C60:$G64, 6 - _xlfn.SEQUENCE(1,5), _xlfn.SEQUENCE(5)),          AZ59="90 CCW", INDEX($C60:$G64, _xlfn.SEQUENCE(1,5), 6 - _xlfn.SEQUENCE(5)),         AZ59="Shift Up", IF(_xlfn.SEQUENCE(5)+1&lt;=5, INDEX($C60:$G64, _xlfn.SEQUENCE(5)+1, _xlfn.SEQUENCE(1,5)), 0),         AZ59="Shift Down", IF(_xlfn.SEQUENCE(5)-1&gt;=1, INDEX($C60:$G64, _xlfn.SEQUENCE(5)-1, _xlfn.SEQUENCE(1,5)), 0),         AZ59="Shift Left",   IF(_xlfn.SEQUENCE(1,5)+1&lt;=5, INDEX($C60:$G64, _xlfn.SEQUENCE(5), _xlfn.SEQUENCE(1,5)+1),0),         AZ59= "Shift Right",  IF(_xlfn.SEQUENCE(1,5)-1&gt;=1, INDEX($C60:$G64, _xlfn.SEQUENCE(5), _xlfn.SEQUENCE(1,5)-1), 0),        AZ59="Noise",  _xlfn.MAP($C60:$G64 + (_xlfn.RANDARRAY(ROWS($C60:$G64), COLUMNS($C60:$G64)) - 0.5) * 0.4, _xlfn.LAMBDA(_xlpm.x, MAX(0, MIN(1, _xlpm.x)))))</f>
        <v>0.39234062054446517</v>
      </c>
      <c r="BA60" s="5">
        <f ca="1"/>
        <v>0.37057343048749869</v>
      </c>
      <c r="BB60" s="5">
        <f ca="1"/>
        <v>0.16479800860068505</v>
      </c>
      <c r="BC60" s="5">
        <f ca="1"/>
        <v>0.35891603721293253</v>
      </c>
      <c r="BD60" s="6">
        <f ca="1"/>
        <v>0.5856674842483911</v>
      </c>
      <c r="BE60" s="3"/>
      <c r="BG60" s="4" cm="1">
        <f t="array" aca="1" ref="BG60:BK64" ca="1">_xlfn.IFS(BG59="None",  $C60:$G64*0,           BG59="Horizontal Flip", INDEX($C60:$G64, _xlfn.SEQUENCE(5), 6 - _xlfn.SEQUENCE(1,5)),        BG59="Vertical Flip", INDEX($C60:$G64, 6 - _xlfn.SEQUENCE(5), _xlfn.SEQUENCE(1,5)),      BG59="180 Rotation", INDEX($C60:$G64, 6 - _xlfn.SEQUENCE(5), 6 - _xlfn.SEQUENCE(1,5)),        BG59="90 CW", INDEX($C60:$G64, 6 - _xlfn.SEQUENCE(1,5), _xlfn.SEQUENCE(5)),          BG59="90 CCW", INDEX($C60:$G64, _xlfn.SEQUENCE(1,5), 6 - _xlfn.SEQUENCE(5)),         BG59="Shift Up", IF(_xlfn.SEQUENCE(5)+1&lt;=5, INDEX($C60:$G64, _xlfn.SEQUENCE(5)+1, _xlfn.SEQUENCE(1,5)), 0),         BG59="Shift Down", IF(_xlfn.SEQUENCE(5)-1&gt;=1, INDEX($C60:$G64, _xlfn.SEQUENCE(5)-1, _xlfn.SEQUENCE(1,5)), 0),         BG59="Shift Left",   IF(_xlfn.SEQUENCE(1,5)+1&lt;=5, INDEX($C60:$G64, _xlfn.SEQUENCE(5), _xlfn.SEQUENCE(1,5)+1),0),         BG59= "Shift Right",  IF(_xlfn.SEQUENCE(1,5)-1&gt;=1, INDEX($C60:$G64, _xlfn.SEQUENCE(5), _xlfn.SEQUENCE(1,5)-1), 0),        BG59="Noise",  _xlfn.MAP($C60:$G64 + (_xlfn.RANDARRAY(ROWS($C60:$G64), COLUMNS($C60:$G64)) - 0.5) * 0.4, _xlfn.LAMBDA(_xlpm.x, MAX(0, MIN(1, _xlpm.x)))))</f>
        <v>0.51859300964167188</v>
      </c>
      <c r="BH60" s="5">
        <f ca="1"/>
        <v>1</v>
      </c>
      <c r="BI60" s="5">
        <f ca="1"/>
        <v>1</v>
      </c>
      <c r="BJ60" s="5">
        <f ca="1"/>
        <v>1</v>
      </c>
      <c r="BK60" s="6">
        <f ca="1"/>
        <v>0.39234062054446517</v>
      </c>
      <c r="BL60" s="3"/>
      <c r="BM60" s="3"/>
      <c r="BN60" s="4" cm="1">
        <f t="array" aca="1" ref="BN60:BR64" ca="1">_xlfn.IFS(BN59="None",  $C60:$G64*0,           BN59="Horizontal Flip", INDEX($C60:$G64, _xlfn.SEQUENCE(5), 6 - _xlfn.SEQUENCE(1,5)),        BN59="Vertical Flip", INDEX($C60:$G64, 6 - _xlfn.SEQUENCE(5), _xlfn.SEQUENCE(1,5)),      BN59="180 Rotation", INDEX($C60:$G64, 6 - _xlfn.SEQUENCE(5), 6 - _xlfn.SEQUENCE(1,5)),        BN59="90 CW", INDEX($C60:$G64, 6 - _xlfn.SEQUENCE(1,5), _xlfn.SEQUENCE(5)),          BN59="90 CCW", INDEX($C60:$G64, _xlfn.SEQUENCE(1,5), 6 - _xlfn.SEQUENCE(5)),         BN59="Shift Up", IF(_xlfn.SEQUENCE(5)+1&lt;=5, INDEX($C60:$G64, _xlfn.SEQUENCE(5)+1, _xlfn.SEQUENCE(1,5)), 0),         BN59="Shift Down", IF(_xlfn.SEQUENCE(5)-1&gt;=1, INDEX($C60:$G64, _xlfn.SEQUENCE(5)-1, _xlfn.SEQUENCE(1,5)), 0),         BN59="Shift Left",   IF(_xlfn.SEQUENCE(1,5)+1&lt;=5, INDEX($C60:$G64, _xlfn.SEQUENCE(5), _xlfn.SEQUENCE(1,5)+1),0),         BN59= "Shift Right",  IF(_xlfn.SEQUENCE(1,5)-1&gt;=1, INDEX($C60:$G64, _xlfn.SEQUENCE(5), _xlfn.SEQUENCE(1,5)-1), 0),        BN59="Noise",  _xlfn.MAP($C60:$G64 + (_xlfn.RANDARRAY(ROWS($C60:$G64), COLUMNS($C60:$G64)) - 0.5) * 0.4, _xlfn.LAMBDA(_xlpm.x, MAX(0, MIN(1, _xlpm.x)))))</f>
        <v>0.70057345248627223</v>
      </c>
      <c r="BO60" s="5">
        <f ca="1"/>
        <v>0.88174343861999926</v>
      </c>
      <c r="BP60" s="5">
        <f ca="1"/>
        <v>0.85931990223663091</v>
      </c>
      <c r="BQ60" s="5">
        <f ca="1"/>
        <v>0.85706010007356159</v>
      </c>
      <c r="BR60" s="6">
        <f ca="1"/>
        <v>0.53947606622332633</v>
      </c>
      <c r="BS60" s="3"/>
      <c r="BU60" s="4" cm="1">
        <f t="array" aca="1" ref="BU60:BY64" ca="1">_xlfn.IFS(BU59="None",  $C60:$G64*0,           BU59="Horizontal Flip", INDEX($C60:$G64, _xlfn.SEQUENCE(5), 6 - _xlfn.SEQUENCE(1,5)),        BU59="Vertical Flip", INDEX($C60:$G64, 6 - _xlfn.SEQUENCE(5), _xlfn.SEQUENCE(1,5)),      BU59="180 Rotation", INDEX($C60:$G64, 6 - _xlfn.SEQUENCE(5), 6 - _xlfn.SEQUENCE(1,5)),        BU59="90 CW", INDEX($C60:$G64, 6 - _xlfn.SEQUENCE(1,5), _xlfn.SEQUENCE(5)),          BU59="90 CCW", INDEX($C60:$G64, _xlfn.SEQUENCE(1,5), 6 - _xlfn.SEQUENCE(5)),         BU59="Shift Up", IF(_xlfn.SEQUENCE(5)+1&lt;=5, INDEX($C60:$G64, _xlfn.SEQUENCE(5)+1, _xlfn.SEQUENCE(1,5)), 0),         BU59="Shift Down", IF(_xlfn.SEQUENCE(5)-1&gt;=1, INDEX($C60:$G64, _xlfn.SEQUENCE(5)-1, _xlfn.SEQUENCE(1,5)), 0),         BU59="Shift Left",   IF(_xlfn.SEQUENCE(1,5)+1&lt;=5, INDEX($C60:$G64, _xlfn.SEQUENCE(5), _xlfn.SEQUENCE(1,5)+1),0),         BU59= "Shift Right",  IF(_xlfn.SEQUENCE(1,5)-1&gt;=1, INDEX($C60:$G64, _xlfn.SEQUENCE(5), _xlfn.SEQUENCE(1,5)-1), 0),        BU59="Noise",  _xlfn.MAP($C60:$G64 + (_xlfn.RANDARRAY(ROWS($C60:$G64), COLUMNS($C60:$G64)) - 0.5) * 0.4, _xlfn.LAMBDA(_xlpm.x, MAX(0, MIN(1, _xlpm.x)))))</f>
        <v>0.47057062491834412</v>
      </c>
      <c r="BV60" s="5">
        <f ca="1"/>
        <v>1</v>
      </c>
      <c r="BW60" s="5">
        <f ca="1"/>
        <v>1</v>
      </c>
      <c r="BX60" s="5">
        <f ca="1"/>
        <v>1</v>
      </c>
      <c r="BY60" s="6">
        <f ca="1"/>
        <v>0.5856674842483911</v>
      </c>
      <c r="CA60" s="29"/>
    </row>
    <row r="61" spans="1:79" s="1" customFormat="1" ht="18" customHeight="1" x14ac:dyDescent="0.2">
      <c r="A61" s="7"/>
      <c r="B61" s="99"/>
      <c r="C61" s="7">
        <v>0.35891603721293253</v>
      </c>
      <c r="D61" s="3">
        <v>1</v>
      </c>
      <c r="E61" s="3">
        <v>0.64616898336424389</v>
      </c>
      <c r="F61" s="3">
        <v>1</v>
      </c>
      <c r="G61" s="8">
        <v>0.48459652030447498</v>
      </c>
      <c r="H61" s="3"/>
      <c r="I61" s="3"/>
      <c r="J61" s="7">
        <f ca="1"/>
        <v>1</v>
      </c>
      <c r="K61" s="3">
        <f ca="1"/>
        <v>0.64616898336424389</v>
      </c>
      <c r="L61" s="3">
        <f ca="1"/>
        <v>1</v>
      </c>
      <c r="M61" s="3">
        <f ca="1"/>
        <v>0.48459652030447498</v>
      </c>
      <c r="N61" s="8">
        <f ca="1"/>
        <v>0</v>
      </c>
      <c r="O61" s="3"/>
      <c r="P61" s="3"/>
      <c r="Q61" s="7">
        <f ca="1"/>
        <v>0.37057343048749869</v>
      </c>
      <c r="R61" s="3">
        <f ca="1"/>
        <v>1</v>
      </c>
      <c r="S61" s="3">
        <f ca="1"/>
        <v>0.34139235886810937</v>
      </c>
      <c r="T61" s="3">
        <f ca="1"/>
        <v>1</v>
      </c>
      <c r="U61" s="8">
        <f ca="1"/>
        <v>0.62948157681499672</v>
      </c>
      <c r="V61" s="3"/>
      <c r="W61" s="3"/>
      <c r="X61" s="7">
        <f ca="1"/>
        <v>0.5856674842483911</v>
      </c>
      <c r="Y61" s="3">
        <f ca="1"/>
        <v>1</v>
      </c>
      <c r="Z61" s="3">
        <f ca="1"/>
        <v>1</v>
      </c>
      <c r="AA61" s="3">
        <f ca="1"/>
        <v>1</v>
      </c>
      <c r="AB61" s="8">
        <f ca="1"/>
        <v>0.47057062491834412</v>
      </c>
      <c r="AC61" s="3"/>
      <c r="AD61" s="3"/>
      <c r="AE61" s="7">
        <f ca="1"/>
        <v>0.16479800860068505</v>
      </c>
      <c r="AF61" s="3">
        <f ca="1"/>
        <v>1</v>
      </c>
      <c r="AG61" s="3">
        <f ca="1"/>
        <v>1</v>
      </c>
      <c r="AH61" s="3">
        <f ca="1"/>
        <v>1</v>
      </c>
      <c r="AI61" s="8">
        <f ca="1"/>
        <v>0.15381588292190895</v>
      </c>
      <c r="AJ61" s="3"/>
      <c r="AK61" s="3"/>
      <c r="AL61" s="7">
        <f ca="1"/>
        <v>1</v>
      </c>
      <c r="AM61" s="3">
        <f ca="1"/>
        <v>1</v>
      </c>
      <c r="AN61" s="3">
        <f ca="1"/>
        <v>1</v>
      </c>
      <c r="AO61" s="3">
        <f ca="1"/>
        <v>1</v>
      </c>
      <c r="AP61" s="8">
        <f ca="1"/>
        <v>1</v>
      </c>
      <c r="AQ61" s="3"/>
      <c r="AR61" s="3"/>
      <c r="AS61" s="7">
        <f ca="1"/>
        <v>0</v>
      </c>
      <c r="AT61" s="3">
        <f ca="1"/>
        <v>0.35891603721293253</v>
      </c>
      <c r="AU61" s="3">
        <f ca="1"/>
        <v>1</v>
      </c>
      <c r="AV61" s="3">
        <f ca="1"/>
        <v>0.64616898336424389</v>
      </c>
      <c r="AW61" s="8">
        <f ca="1"/>
        <v>1</v>
      </c>
      <c r="AX61" s="3"/>
      <c r="AY61" s="3"/>
      <c r="AZ61" s="7">
        <f ca="1"/>
        <v>1</v>
      </c>
      <c r="BA61" s="3">
        <f ca="1"/>
        <v>1</v>
      </c>
      <c r="BB61" s="3">
        <f ca="1"/>
        <v>1</v>
      </c>
      <c r="BC61" s="3">
        <f ca="1"/>
        <v>1</v>
      </c>
      <c r="BD61" s="8">
        <f ca="1"/>
        <v>1</v>
      </c>
      <c r="BE61" s="3"/>
      <c r="BG61" s="7">
        <f ca="1"/>
        <v>0.62948157681499672</v>
      </c>
      <c r="BH61" s="3">
        <f ca="1"/>
        <v>1</v>
      </c>
      <c r="BI61" s="3">
        <f ca="1"/>
        <v>0.34139235886810937</v>
      </c>
      <c r="BJ61" s="3">
        <f ca="1"/>
        <v>1</v>
      </c>
      <c r="BK61" s="8">
        <f ca="1"/>
        <v>0.37057343048749869</v>
      </c>
      <c r="BL61" s="3"/>
      <c r="BM61" s="3"/>
      <c r="BN61" s="7">
        <f ca="1"/>
        <v>0.39466895832117344</v>
      </c>
      <c r="BO61" s="3">
        <f ca="1"/>
        <v>1</v>
      </c>
      <c r="BP61" s="3">
        <f ca="1"/>
        <v>0.71320729198188526</v>
      </c>
      <c r="BQ61" s="3">
        <f ca="1"/>
        <v>0.84293920674827305</v>
      </c>
      <c r="BR61" s="8">
        <f ca="1"/>
        <v>0.40247193101631079</v>
      </c>
      <c r="BS61" s="3"/>
      <c r="BU61" s="7">
        <f ca="1"/>
        <v>0.48459652030447498</v>
      </c>
      <c r="BV61" s="3">
        <f ca="1"/>
        <v>1</v>
      </c>
      <c r="BW61" s="3">
        <f ca="1"/>
        <v>0.64616898336424389</v>
      </c>
      <c r="BX61" s="3">
        <f ca="1"/>
        <v>1</v>
      </c>
      <c r="BY61" s="8">
        <f ca="1"/>
        <v>0.35891603721293253</v>
      </c>
      <c r="CA61" s="29"/>
    </row>
    <row r="62" spans="1:79" s="1" customFormat="1" ht="18" customHeight="1" x14ac:dyDescent="0.2">
      <c r="A62" s="7"/>
      <c r="B62" s="99"/>
      <c r="C62" s="7">
        <v>0.16479800860068505</v>
      </c>
      <c r="D62" s="3">
        <v>1</v>
      </c>
      <c r="E62" s="3">
        <v>1</v>
      </c>
      <c r="F62" s="3">
        <v>1</v>
      </c>
      <c r="G62" s="8">
        <v>0.15381588292190895</v>
      </c>
      <c r="H62" s="3"/>
      <c r="I62" s="3"/>
      <c r="J62" s="7">
        <f ca="1"/>
        <v>1</v>
      </c>
      <c r="K62" s="3">
        <f ca="1"/>
        <v>1</v>
      </c>
      <c r="L62" s="3">
        <f ca="1"/>
        <v>1</v>
      </c>
      <c r="M62" s="3">
        <f ca="1"/>
        <v>0.15381588292190895</v>
      </c>
      <c r="N62" s="8">
        <f ca="1"/>
        <v>0</v>
      </c>
      <c r="O62" s="3"/>
      <c r="P62" s="3"/>
      <c r="Q62" s="7">
        <f ca="1"/>
        <v>0.16479800860068505</v>
      </c>
      <c r="R62" s="3">
        <f ca="1"/>
        <v>1</v>
      </c>
      <c r="S62" s="3">
        <f ca="1"/>
        <v>1</v>
      </c>
      <c r="T62" s="3">
        <f ca="1"/>
        <v>1</v>
      </c>
      <c r="U62" s="8">
        <f ca="1"/>
        <v>0.15381588292190895</v>
      </c>
      <c r="V62" s="3"/>
      <c r="W62" s="3"/>
      <c r="X62" s="7">
        <f ca="1"/>
        <v>0.35891603721293253</v>
      </c>
      <c r="Y62" s="3">
        <f ca="1"/>
        <v>1</v>
      </c>
      <c r="Z62" s="3">
        <f ca="1"/>
        <v>0.64616898336424389</v>
      </c>
      <c r="AA62" s="3">
        <f ca="1"/>
        <v>1</v>
      </c>
      <c r="AB62" s="8">
        <f ca="1"/>
        <v>0.48459652030447498</v>
      </c>
      <c r="AC62" s="3"/>
      <c r="AD62" s="3"/>
      <c r="AE62" s="7">
        <f ca="1"/>
        <v>0.37057343048749869</v>
      </c>
      <c r="AF62" s="3">
        <f ca="1"/>
        <v>1</v>
      </c>
      <c r="AG62" s="3">
        <f ca="1"/>
        <v>0.34139235886810937</v>
      </c>
      <c r="AH62" s="3">
        <f ca="1"/>
        <v>1</v>
      </c>
      <c r="AI62" s="8">
        <f ca="1"/>
        <v>0.62948157681499672</v>
      </c>
      <c r="AJ62" s="3"/>
      <c r="AK62" s="3"/>
      <c r="AL62" s="7">
        <f ca="1"/>
        <v>1</v>
      </c>
      <c r="AM62" s="3">
        <f ca="1"/>
        <v>0.64616898336424389</v>
      </c>
      <c r="AN62" s="3">
        <f ca="1"/>
        <v>1</v>
      </c>
      <c r="AO62" s="3">
        <f ca="1"/>
        <v>0.34139235886810937</v>
      </c>
      <c r="AP62" s="8">
        <f ca="1"/>
        <v>1</v>
      </c>
      <c r="AQ62" s="3"/>
      <c r="AR62" s="3"/>
      <c r="AS62" s="7">
        <f ca="1"/>
        <v>0</v>
      </c>
      <c r="AT62" s="3">
        <f ca="1"/>
        <v>0.16479800860068505</v>
      </c>
      <c r="AU62" s="3">
        <f ca="1"/>
        <v>1</v>
      </c>
      <c r="AV62" s="3">
        <f ca="1"/>
        <v>1</v>
      </c>
      <c r="AW62" s="8">
        <f ca="1"/>
        <v>1</v>
      </c>
      <c r="AX62" s="3"/>
      <c r="AY62" s="3"/>
      <c r="AZ62" s="7">
        <f ca="1"/>
        <v>1</v>
      </c>
      <c r="BA62" s="3">
        <f ca="1"/>
        <v>0.34139235886810937</v>
      </c>
      <c r="BB62" s="3">
        <f ca="1"/>
        <v>1</v>
      </c>
      <c r="BC62" s="3">
        <f ca="1"/>
        <v>0.64616898336424389</v>
      </c>
      <c r="BD62" s="8">
        <f ca="1"/>
        <v>1</v>
      </c>
      <c r="BE62" s="3"/>
      <c r="BG62" s="7">
        <f ca="1"/>
        <v>0.15381588292190895</v>
      </c>
      <c r="BH62" s="3">
        <f ca="1"/>
        <v>1</v>
      </c>
      <c r="BI62" s="3">
        <f ca="1"/>
        <v>1</v>
      </c>
      <c r="BJ62" s="3">
        <f ca="1"/>
        <v>1</v>
      </c>
      <c r="BK62" s="8">
        <f ca="1"/>
        <v>0.16479800860068505</v>
      </c>
      <c r="BL62" s="3"/>
      <c r="BM62" s="3"/>
      <c r="BN62" s="7">
        <f ca="1"/>
        <v>0.15329779263997695</v>
      </c>
      <c r="BO62" s="3">
        <f ca="1"/>
        <v>1</v>
      </c>
      <c r="BP62" s="3">
        <f ca="1"/>
        <v>0.9014937330923336</v>
      </c>
      <c r="BQ62" s="3">
        <f ca="1"/>
        <v>0.90015730515429504</v>
      </c>
      <c r="BR62" s="8">
        <f ca="1"/>
        <v>3.6068769740344953E-2</v>
      </c>
      <c r="BS62" s="3"/>
      <c r="BU62" s="7">
        <f ca="1"/>
        <v>0.15381588292190895</v>
      </c>
      <c r="BV62" s="3">
        <f ca="1"/>
        <v>1</v>
      </c>
      <c r="BW62" s="3">
        <f ca="1"/>
        <v>1</v>
      </c>
      <c r="BX62" s="3">
        <f ca="1"/>
        <v>1</v>
      </c>
      <c r="BY62" s="8">
        <f ca="1"/>
        <v>0.16479800860068505</v>
      </c>
      <c r="CA62" s="29"/>
    </row>
    <row r="63" spans="1:79" s="1" customFormat="1" ht="18" customHeight="1" x14ac:dyDescent="0.2">
      <c r="A63" s="7"/>
      <c r="B63" s="99"/>
      <c r="C63" s="7">
        <v>0.37057343048749869</v>
      </c>
      <c r="D63" s="3">
        <v>1</v>
      </c>
      <c r="E63" s="3">
        <v>0.34139235886810937</v>
      </c>
      <c r="F63" s="3">
        <v>1</v>
      </c>
      <c r="G63" s="8">
        <v>0.62948157681499672</v>
      </c>
      <c r="H63" s="3"/>
      <c r="I63" s="3"/>
      <c r="J63" s="7">
        <f ca="1"/>
        <v>1</v>
      </c>
      <c r="K63" s="3">
        <f ca="1"/>
        <v>0.34139235886810937</v>
      </c>
      <c r="L63" s="3">
        <f ca="1"/>
        <v>1</v>
      </c>
      <c r="M63" s="3">
        <f ca="1"/>
        <v>0.62948157681499672</v>
      </c>
      <c r="N63" s="8">
        <f ca="1"/>
        <v>0</v>
      </c>
      <c r="O63" s="3"/>
      <c r="P63" s="3"/>
      <c r="Q63" s="7">
        <f ca="1"/>
        <v>0.35891603721293253</v>
      </c>
      <c r="R63" s="3">
        <f ca="1"/>
        <v>1</v>
      </c>
      <c r="S63" s="3">
        <f ca="1"/>
        <v>0.64616898336424389</v>
      </c>
      <c r="T63" s="3">
        <f ca="1"/>
        <v>1</v>
      </c>
      <c r="U63" s="8">
        <f ca="1"/>
        <v>0.48459652030447498</v>
      </c>
      <c r="V63" s="3"/>
      <c r="W63" s="3"/>
      <c r="X63" s="7">
        <f ca="1"/>
        <v>0.16479800860068505</v>
      </c>
      <c r="Y63" s="3">
        <f ca="1"/>
        <v>1</v>
      </c>
      <c r="Z63" s="3">
        <f ca="1"/>
        <v>1</v>
      </c>
      <c r="AA63" s="3">
        <f ca="1"/>
        <v>1</v>
      </c>
      <c r="AB63" s="8">
        <f ca="1"/>
        <v>0.15381588292190895</v>
      </c>
      <c r="AC63" s="3"/>
      <c r="AD63" s="3"/>
      <c r="AE63" s="7">
        <f ca="1"/>
        <v>0.39234062054446517</v>
      </c>
      <c r="AF63" s="3">
        <f ca="1"/>
        <v>1</v>
      </c>
      <c r="AG63" s="3">
        <f ca="1"/>
        <v>1</v>
      </c>
      <c r="AH63" s="3">
        <f ca="1"/>
        <v>1</v>
      </c>
      <c r="AI63" s="8">
        <f ca="1"/>
        <v>0.51859300964167188</v>
      </c>
      <c r="AJ63" s="3"/>
      <c r="AK63" s="3"/>
      <c r="AL63" s="7">
        <f ca="1"/>
        <v>1</v>
      </c>
      <c r="AM63" s="3">
        <f ca="1"/>
        <v>1</v>
      </c>
      <c r="AN63" s="3">
        <f ca="1"/>
        <v>1</v>
      </c>
      <c r="AO63" s="3">
        <f ca="1"/>
        <v>1</v>
      </c>
      <c r="AP63" s="8">
        <f ca="1"/>
        <v>1</v>
      </c>
      <c r="AQ63" s="3"/>
      <c r="AR63" s="3"/>
      <c r="AS63" s="7">
        <f ca="1"/>
        <v>0</v>
      </c>
      <c r="AT63" s="3">
        <f ca="1"/>
        <v>0.37057343048749869</v>
      </c>
      <c r="AU63" s="3">
        <f ca="1"/>
        <v>1</v>
      </c>
      <c r="AV63" s="3">
        <f ca="1"/>
        <v>0.34139235886810937</v>
      </c>
      <c r="AW63" s="8">
        <f ca="1"/>
        <v>1</v>
      </c>
      <c r="AX63" s="3"/>
      <c r="AY63" s="3"/>
      <c r="AZ63" s="7">
        <f ca="1"/>
        <v>1</v>
      </c>
      <c r="BA63" s="3">
        <f ca="1"/>
        <v>1</v>
      </c>
      <c r="BB63" s="3">
        <f ca="1"/>
        <v>1</v>
      </c>
      <c r="BC63" s="3">
        <f ca="1"/>
        <v>1</v>
      </c>
      <c r="BD63" s="8">
        <f ca="1"/>
        <v>1</v>
      </c>
      <c r="BE63" s="3"/>
      <c r="BG63" s="7">
        <f ca="1"/>
        <v>0.48459652030447498</v>
      </c>
      <c r="BH63" s="3">
        <f ca="1"/>
        <v>1</v>
      </c>
      <c r="BI63" s="3">
        <f ca="1"/>
        <v>0.64616898336424389</v>
      </c>
      <c r="BJ63" s="3">
        <f ca="1"/>
        <v>1</v>
      </c>
      <c r="BK63" s="8">
        <f ca="1"/>
        <v>0.35891603721293253</v>
      </c>
      <c r="BL63" s="3"/>
      <c r="BM63" s="3"/>
      <c r="BN63" s="7">
        <f ca="1"/>
        <v>0.4161969164445154</v>
      </c>
      <c r="BO63" s="3">
        <f ca="1"/>
        <v>1</v>
      </c>
      <c r="BP63" s="3">
        <f ca="1"/>
        <v>0.18440609553314519</v>
      </c>
      <c r="BQ63" s="3">
        <f ca="1"/>
        <v>1</v>
      </c>
      <c r="BR63" s="8">
        <f ca="1"/>
        <v>0.53180799343017693</v>
      </c>
      <c r="BS63" s="3"/>
      <c r="BU63" s="7">
        <f ca="1"/>
        <v>0.62948157681499672</v>
      </c>
      <c r="BV63" s="3">
        <f ca="1"/>
        <v>1</v>
      </c>
      <c r="BW63" s="3">
        <f ca="1"/>
        <v>0.34139235886810937</v>
      </c>
      <c r="BX63" s="3">
        <f ca="1"/>
        <v>1</v>
      </c>
      <c r="BY63" s="8">
        <f ca="1"/>
        <v>0.37057343048749869</v>
      </c>
      <c r="CA63" s="29"/>
    </row>
    <row r="64" spans="1:79" s="1" customFormat="1" ht="18" customHeight="1" thickBot="1" x14ac:dyDescent="0.25">
      <c r="A64" s="7"/>
      <c r="B64" s="99"/>
      <c r="C64" s="9">
        <v>0.39234062054446517</v>
      </c>
      <c r="D64" s="10">
        <v>1</v>
      </c>
      <c r="E64" s="10">
        <v>1</v>
      </c>
      <c r="F64" s="10">
        <v>1</v>
      </c>
      <c r="G64" s="11">
        <v>0.51859300964167188</v>
      </c>
      <c r="H64" s="3"/>
      <c r="I64" s="3"/>
      <c r="J64" s="9">
        <f ca="1"/>
        <v>1</v>
      </c>
      <c r="K64" s="10">
        <f ca="1"/>
        <v>1</v>
      </c>
      <c r="L64" s="10">
        <f ca="1"/>
        <v>1</v>
      </c>
      <c r="M64" s="10">
        <f ca="1"/>
        <v>0.51859300964167188</v>
      </c>
      <c r="N64" s="11">
        <f ca="1"/>
        <v>0</v>
      </c>
      <c r="O64" s="3"/>
      <c r="P64" s="3"/>
      <c r="Q64" s="9">
        <f ca="1"/>
        <v>0.5856674842483911</v>
      </c>
      <c r="R64" s="10">
        <f ca="1"/>
        <v>1</v>
      </c>
      <c r="S64" s="10">
        <f ca="1"/>
        <v>1</v>
      </c>
      <c r="T64" s="10">
        <f ca="1"/>
        <v>1</v>
      </c>
      <c r="U64" s="11">
        <f ca="1"/>
        <v>0.47057062491834412</v>
      </c>
      <c r="V64" s="3"/>
      <c r="W64" s="3"/>
      <c r="X64" s="9">
        <f ca="1"/>
        <v>0.37057343048749869</v>
      </c>
      <c r="Y64" s="10">
        <f ca="1"/>
        <v>1</v>
      </c>
      <c r="Z64" s="10">
        <f ca="1"/>
        <v>0.34139235886810937</v>
      </c>
      <c r="AA64" s="10">
        <f ca="1"/>
        <v>1</v>
      </c>
      <c r="AB64" s="11">
        <f ca="1"/>
        <v>0.62948157681499672</v>
      </c>
      <c r="AC64" s="3"/>
      <c r="AD64" s="3"/>
      <c r="AE64" s="9">
        <f ca="1"/>
        <v>0</v>
      </c>
      <c r="AF64" s="10">
        <f ca="1"/>
        <v>0</v>
      </c>
      <c r="AG64" s="10">
        <f ca="1"/>
        <v>0</v>
      </c>
      <c r="AH64" s="10">
        <f ca="1"/>
        <v>0</v>
      </c>
      <c r="AI64" s="11">
        <f ca="1"/>
        <v>0</v>
      </c>
      <c r="AJ64" s="3"/>
      <c r="AK64" s="3"/>
      <c r="AL64" s="9">
        <f ca="1"/>
        <v>0.5856674842483911</v>
      </c>
      <c r="AM64" s="10">
        <f ca="1"/>
        <v>0.35891603721293253</v>
      </c>
      <c r="AN64" s="10">
        <f ca="1"/>
        <v>0.16479800860068505</v>
      </c>
      <c r="AO64" s="10">
        <f ca="1"/>
        <v>0.37057343048749869</v>
      </c>
      <c r="AP64" s="11">
        <f ca="1"/>
        <v>0.39234062054446517</v>
      </c>
      <c r="AQ64" s="3"/>
      <c r="AR64" s="3"/>
      <c r="AS64" s="9">
        <f ca="1"/>
        <v>0</v>
      </c>
      <c r="AT64" s="10">
        <f ca="1"/>
        <v>0.39234062054446517</v>
      </c>
      <c r="AU64" s="10">
        <f ca="1"/>
        <v>1</v>
      </c>
      <c r="AV64" s="10">
        <f ca="1"/>
        <v>1</v>
      </c>
      <c r="AW64" s="11">
        <f ca="1"/>
        <v>1</v>
      </c>
      <c r="AX64" s="3"/>
      <c r="AY64" s="3"/>
      <c r="AZ64" s="9">
        <f ca="1"/>
        <v>0.51859300964167188</v>
      </c>
      <c r="BA64" s="10">
        <f ca="1"/>
        <v>0.62948157681499672</v>
      </c>
      <c r="BB64" s="10">
        <f ca="1"/>
        <v>0.15381588292190895</v>
      </c>
      <c r="BC64" s="10">
        <f ca="1"/>
        <v>0.48459652030447498</v>
      </c>
      <c r="BD64" s="11">
        <f ca="1"/>
        <v>0.47057062491834412</v>
      </c>
      <c r="BE64" s="3"/>
      <c r="BG64" s="9">
        <f ca="1"/>
        <v>0.47057062491834412</v>
      </c>
      <c r="BH64" s="10">
        <f ca="1"/>
        <v>1</v>
      </c>
      <c r="BI64" s="10">
        <f ca="1"/>
        <v>1</v>
      </c>
      <c r="BJ64" s="10">
        <f ca="1"/>
        <v>1</v>
      </c>
      <c r="BK64" s="11">
        <f ca="1"/>
        <v>0.5856674842483911</v>
      </c>
      <c r="BL64" s="3"/>
      <c r="BM64" s="3"/>
      <c r="BN64" s="9">
        <f ca="1"/>
        <v>0.54159905288631749</v>
      </c>
      <c r="BO64" s="10">
        <f ca="1"/>
        <v>1</v>
      </c>
      <c r="BP64" s="10">
        <f ca="1"/>
        <v>0.98870049827183204</v>
      </c>
      <c r="BQ64" s="10">
        <f ca="1"/>
        <v>1</v>
      </c>
      <c r="BR64" s="11">
        <f ca="1"/>
        <v>0.32458081001720751</v>
      </c>
      <c r="BS64" s="3"/>
      <c r="BU64" s="9">
        <f ca="1"/>
        <v>0.51859300964167188</v>
      </c>
      <c r="BV64" s="10">
        <f ca="1"/>
        <v>1</v>
      </c>
      <c r="BW64" s="10">
        <f ca="1"/>
        <v>1</v>
      </c>
      <c r="BX64" s="10">
        <f ca="1"/>
        <v>1</v>
      </c>
      <c r="BY64" s="11">
        <f ca="1"/>
        <v>0.39234062054446517</v>
      </c>
      <c r="CA64" s="29"/>
    </row>
    <row r="65" spans="1:79" s="1" customFormat="1" ht="18" customHeight="1" x14ac:dyDescent="0.2">
      <c r="A65" s="7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U65" s="3"/>
      <c r="BV65" s="3"/>
      <c r="BW65" s="3"/>
      <c r="BX65" s="3"/>
      <c r="BY65" s="3"/>
      <c r="CA65" s="29"/>
    </row>
    <row r="66" spans="1:79" s="1" customFormat="1" ht="18" customHeight="1" thickBot="1" x14ac:dyDescent="0.25">
      <c r="A66" s="7"/>
      <c r="B66" s="99">
        <v>9</v>
      </c>
      <c r="C66" s="97" t="s">
        <v>12</v>
      </c>
      <c r="D66" s="97"/>
      <c r="E66" s="97"/>
      <c r="F66" s="97"/>
      <c r="G66" s="97"/>
      <c r="H66" s="28"/>
      <c r="I66" s="3"/>
      <c r="J66" s="97" t="str" cm="1">
        <f t="array" aca="1" ref="J66" ca="1">INDEX(Helper!$E$13:$E$22, OFFSET(Helper!$J$13,$B66,J$2))</f>
        <v>Noise</v>
      </c>
      <c r="K66" s="97"/>
      <c r="L66" s="97"/>
      <c r="M66" s="97"/>
      <c r="N66" s="97"/>
      <c r="O66" s="3"/>
      <c r="P66" s="3"/>
      <c r="Q66" s="97" t="str" cm="1">
        <f t="array" aca="1" ref="Q66" ca="1">INDEX(Helper!$E$13:$E$22, OFFSET(Helper!$J$13,$B66,Q$2))</f>
        <v>90 CCW</v>
      </c>
      <c r="R66" s="97"/>
      <c r="S66" s="97"/>
      <c r="T66" s="97"/>
      <c r="U66" s="97"/>
      <c r="V66" s="3"/>
      <c r="W66" s="3"/>
      <c r="X66" s="97" t="str" cm="1">
        <f t="array" aca="1" ref="X66" ca="1">INDEX(Helper!$E$13:$E$22, OFFSET(Helper!$J$13,$B66,X$2))</f>
        <v>Shift Down</v>
      </c>
      <c r="Y66" s="97"/>
      <c r="Z66" s="97"/>
      <c r="AA66" s="97"/>
      <c r="AB66" s="97"/>
      <c r="AC66" s="3"/>
      <c r="AD66" s="3"/>
      <c r="AE66" s="97" t="str" cm="1">
        <f t="array" aca="1" ref="AE66" ca="1">INDEX(Helper!$E$13:$E$22, OFFSET(Helper!$J$13,$B66,AE$2))</f>
        <v>Vertical Flip</v>
      </c>
      <c r="AF66" s="97"/>
      <c r="AG66" s="97"/>
      <c r="AH66" s="97"/>
      <c r="AI66" s="97"/>
      <c r="AJ66" s="3"/>
      <c r="AK66" s="3"/>
      <c r="AL66" s="97" t="str" cm="1">
        <f t="array" aca="1" ref="AL66" ca="1">INDEX(Helper!$E$13:$E$22, OFFSET(Helper!$J$13,$B66,AL$2))</f>
        <v>180 Rotation</v>
      </c>
      <c r="AM66" s="97"/>
      <c r="AN66" s="97"/>
      <c r="AO66" s="97"/>
      <c r="AP66" s="97"/>
      <c r="AQ66" s="3"/>
      <c r="AR66" s="3"/>
      <c r="AS66" s="97" t="str" cm="1">
        <f t="array" aca="1" ref="AS66" ca="1">INDEX(Helper!$E$13:$E$22, OFFSET(Helper!$J$13,$B66,AS$2))</f>
        <v>Shift Up</v>
      </c>
      <c r="AT66" s="97"/>
      <c r="AU66" s="97"/>
      <c r="AV66" s="97"/>
      <c r="AW66" s="97"/>
      <c r="AX66" s="3"/>
      <c r="AY66" s="3"/>
      <c r="AZ66" s="97" t="str" cm="1">
        <f t="array" aca="1" ref="AZ66" ca="1">INDEX(Helper!$E$13:$E$22, OFFSET(Helper!$J$13,$B66,AZ$2))</f>
        <v>Shift Right</v>
      </c>
      <c r="BA66" s="97"/>
      <c r="BB66" s="97"/>
      <c r="BC66" s="97"/>
      <c r="BD66" s="97"/>
      <c r="BE66" s="3"/>
      <c r="BG66" s="97" t="str" cm="1">
        <f t="array" aca="1" ref="BG66" ca="1">INDEX(Helper!$E$13:$E$22, OFFSET(Helper!$J$13,$B66,BG$2))</f>
        <v>Shift Left</v>
      </c>
      <c r="BH66" s="97"/>
      <c r="BI66" s="97"/>
      <c r="BJ66" s="97"/>
      <c r="BK66" s="97"/>
      <c r="BL66" s="3"/>
      <c r="BM66" s="3"/>
      <c r="BN66" s="97" t="str" cm="1">
        <f t="array" aca="1" ref="BN66" ca="1">INDEX(Helper!$E$13:$E$22, OFFSET(Helper!$J$13,$B66,BN$2))</f>
        <v>90 CW</v>
      </c>
      <c r="BO66" s="97"/>
      <c r="BP66" s="97"/>
      <c r="BQ66" s="97"/>
      <c r="BR66" s="97"/>
      <c r="BS66" s="3"/>
      <c r="BU66" s="97" t="str" cm="1">
        <f t="array" aca="1" ref="BU66" ca="1">INDEX(Helper!$E$13:$E$22, OFFSET(Helper!$J$13,$B66,BU$2))</f>
        <v>Horizontal Flip</v>
      </c>
      <c r="BV66" s="97"/>
      <c r="BW66" s="97"/>
      <c r="BX66" s="97"/>
      <c r="BY66" s="97"/>
      <c r="CA66" s="29"/>
    </row>
    <row r="67" spans="1:79" s="1" customFormat="1" ht="18" customHeight="1" x14ac:dyDescent="0.2">
      <c r="A67" s="7"/>
      <c r="B67" s="99"/>
      <c r="C67" s="4">
        <v>0.18342546386617398</v>
      </c>
      <c r="D67" s="5">
        <v>1</v>
      </c>
      <c r="E67" s="5">
        <v>1</v>
      </c>
      <c r="F67" s="5">
        <v>1</v>
      </c>
      <c r="G67" s="6">
        <v>0.19947368371422125</v>
      </c>
      <c r="H67" s="3"/>
      <c r="I67" s="3"/>
      <c r="J67" s="4" cm="1">
        <f t="array" aca="1" ref="J67:N71" ca="1">_xlfn.IFS(J66="None",  $C67:$G71*0,           J66="Horizontal Flip", INDEX($C67:$G71, _xlfn.SEQUENCE(5), 6 - _xlfn.SEQUENCE(1,5)),        J66="Vertical Flip", INDEX($C67:$G71, 6 - _xlfn.SEQUENCE(5), _xlfn.SEQUENCE(1,5)),      J66="180 Rotation", INDEX($C67:$G71, 6 - _xlfn.SEQUENCE(5), 6 - _xlfn.SEQUENCE(1,5)),        J66="90 CW", INDEX($C67:$G71, 6 - _xlfn.SEQUENCE(1,5), _xlfn.SEQUENCE(5)),          J66="90 CCW", INDEX($C67:$G71, _xlfn.SEQUENCE(1,5), 6 - _xlfn.SEQUENCE(5)),         J66="Shift Up", IF(_xlfn.SEQUENCE(5)+1&lt;=5, INDEX($C67:$G71, _xlfn.SEQUENCE(5)+1, _xlfn.SEQUENCE(1,5)), 0),         J66="Shift Down", IF(_xlfn.SEQUENCE(5)-1&gt;=1, INDEX($C67:$G71, _xlfn.SEQUENCE(5)-1, _xlfn.SEQUENCE(1,5)), 0),         J66="Shift Left",   IF(_xlfn.SEQUENCE(1,5)+1&lt;=5, INDEX($C67:$G71, _xlfn.SEQUENCE(5), _xlfn.SEQUENCE(1,5)+1),0),         J66= "Shift Right",  IF(_xlfn.SEQUENCE(1,5)-1&gt;=1, INDEX($C67:$G71, _xlfn.SEQUENCE(5), _xlfn.SEQUENCE(1,5)-1), 0),        J66="Noise",  _xlfn.MAP($C67:$G71 + (_xlfn.RANDARRAY(ROWS($C67:$G71), COLUMNS($C67:$G71)) - 0.5) * 0.4, _xlfn.LAMBDA(_xlpm.x, MAX(0, MIN(1, _xlpm.x)))))</f>
        <v>0</v>
      </c>
      <c r="K67" s="5">
        <f ca="1"/>
        <v>0.86329852009678998</v>
      </c>
      <c r="L67" s="5">
        <f ca="1"/>
        <v>0.90409376384098461</v>
      </c>
      <c r="M67" s="5">
        <f ca="1"/>
        <v>0.81135044878050722</v>
      </c>
      <c r="N67" s="6">
        <f ca="1"/>
        <v>0.15820738640686344</v>
      </c>
      <c r="O67" s="3"/>
      <c r="P67" s="3"/>
      <c r="Q67" s="4" cm="1">
        <f t="array" aca="1" ref="Q67:U71" ca="1">_xlfn.IFS(Q66="None",  $C67:$G71*0,           Q66="Horizontal Flip", INDEX($C67:$G71, _xlfn.SEQUENCE(5), 6 - _xlfn.SEQUENCE(1,5)),        Q66="Vertical Flip", INDEX($C67:$G71, 6 - _xlfn.SEQUENCE(5), _xlfn.SEQUENCE(1,5)),      Q66="180 Rotation", INDEX($C67:$G71, 6 - _xlfn.SEQUENCE(5), 6 - _xlfn.SEQUENCE(1,5)),        Q66="90 CW", INDEX($C67:$G71, 6 - _xlfn.SEQUENCE(1,5), _xlfn.SEQUENCE(5)),          Q66="90 CCW", INDEX($C67:$G71, _xlfn.SEQUENCE(1,5), 6 - _xlfn.SEQUENCE(5)),         Q66="Shift Up", IF(_xlfn.SEQUENCE(5)+1&lt;=5, INDEX($C67:$G71, _xlfn.SEQUENCE(5)+1, _xlfn.SEQUENCE(1,5)), 0),         Q66="Shift Down", IF(_xlfn.SEQUENCE(5)-1&gt;=1, INDEX($C67:$G71, _xlfn.SEQUENCE(5)-1, _xlfn.SEQUENCE(1,5)), 0),         Q66="Shift Left",   IF(_xlfn.SEQUENCE(1,5)+1&lt;=5, INDEX($C67:$G71, _xlfn.SEQUENCE(5), _xlfn.SEQUENCE(1,5)+1),0),         Q66= "Shift Right",  IF(_xlfn.SEQUENCE(1,5)-1&gt;=1, INDEX($C67:$G71, _xlfn.SEQUENCE(5), _xlfn.SEQUENCE(1,5)-1), 0),        Q66="Noise",  _xlfn.MAP($C67:$G71 + (_xlfn.RANDARRAY(ROWS($C67:$G71), COLUMNS($C67:$G71)) - 0.5) * 0.4, _xlfn.LAMBDA(_xlpm.x, MAX(0, MIN(1, _xlpm.x)))))</f>
        <v>0.19947368371422125</v>
      </c>
      <c r="R67" s="5">
        <f ca="1"/>
        <v>0.51874224090715226</v>
      </c>
      <c r="S67" s="5">
        <f ca="1"/>
        <v>0.18417476276971634</v>
      </c>
      <c r="T67" s="5">
        <f ca="1"/>
        <v>0.22639110829676889</v>
      </c>
      <c r="U67" s="6">
        <f ca="1"/>
        <v>0.53012316518173996</v>
      </c>
      <c r="V67" s="3"/>
      <c r="W67" s="3"/>
      <c r="X67" s="4" cm="1">
        <f t="array" aca="1" ref="X67:AB71" ca="1">_xlfn.IFS(X66="None",  $C67:$G71*0,           X66="Horizontal Flip", INDEX($C67:$G71, _xlfn.SEQUENCE(5), 6 - _xlfn.SEQUENCE(1,5)),        X66="Vertical Flip", INDEX($C67:$G71, 6 - _xlfn.SEQUENCE(5), _xlfn.SEQUENCE(1,5)),      X66="180 Rotation", INDEX($C67:$G71, 6 - _xlfn.SEQUENCE(5), 6 - _xlfn.SEQUENCE(1,5)),        X66="90 CW", INDEX($C67:$G71, 6 - _xlfn.SEQUENCE(1,5), _xlfn.SEQUENCE(5)),          X66="90 CCW", INDEX($C67:$G71, _xlfn.SEQUENCE(1,5), 6 - _xlfn.SEQUENCE(5)),         X66="Shift Up", IF(_xlfn.SEQUENCE(5)+1&lt;=5, INDEX($C67:$G71, _xlfn.SEQUENCE(5)+1, _xlfn.SEQUENCE(1,5)), 0),         X66="Shift Down", IF(_xlfn.SEQUENCE(5)-1&gt;=1, INDEX($C67:$G71, _xlfn.SEQUENCE(5)-1, _xlfn.SEQUENCE(1,5)), 0),         X66="Shift Left",   IF(_xlfn.SEQUENCE(1,5)+1&lt;=5, INDEX($C67:$G71, _xlfn.SEQUENCE(5), _xlfn.SEQUENCE(1,5)+1),0),         X66= "Shift Right",  IF(_xlfn.SEQUENCE(1,5)-1&gt;=1, INDEX($C67:$G71, _xlfn.SEQUENCE(5), _xlfn.SEQUENCE(1,5)-1), 0),        X66="Noise",  _xlfn.MAP($C67:$G71 + (_xlfn.RANDARRAY(ROWS($C67:$G71), COLUMNS($C67:$G71)) - 0.5) * 0.4, _xlfn.LAMBDA(_xlpm.x, MAX(0, MIN(1, _xlpm.x)))))</f>
        <v>0</v>
      </c>
      <c r="Y67" s="5">
        <f ca="1"/>
        <v>0</v>
      </c>
      <c r="Z67" s="5">
        <f ca="1"/>
        <v>0</v>
      </c>
      <c r="AA67" s="5">
        <f ca="1"/>
        <v>0</v>
      </c>
      <c r="AB67" s="6">
        <f ca="1"/>
        <v>0</v>
      </c>
      <c r="AC67" s="3"/>
      <c r="AD67" s="3"/>
      <c r="AE67" s="4" cm="1">
        <f t="array" aca="1" ref="AE67:AI71" ca="1">_xlfn.IFS(AE66="None",  $C67:$G71*0,           AE66="Horizontal Flip", INDEX($C67:$G71, _xlfn.SEQUENCE(5), 6 - _xlfn.SEQUENCE(1,5)),        AE66="Vertical Flip", INDEX($C67:$G71, 6 - _xlfn.SEQUENCE(5), _xlfn.SEQUENCE(1,5)),      AE66="180 Rotation", INDEX($C67:$G71, 6 - _xlfn.SEQUENCE(5), 6 - _xlfn.SEQUENCE(1,5)),        AE66="90 CW", INDEX($C67:$G71, 6 - _xlfn.SEQUENCE(1,5), _xlfn.SEQUENCE(5)),          AE66="90 CCW", INDEX($C67:$G71, _xlfn.SEQUENCE(1,5), 6 - _xlfn.SEQUENCE(5)),         AE66="Shift Up", IF(_xlfn.SEQUENCE(5)+1&lt;=5, INDEX($C67:$G71, _xlfn.SEQUENCE(5)+1, _xlfn.SEQUENCE(1,5)), 0),         AE66="Shift Down", IF(_xlfn.SEQUENCE(5)-1&gt;=1, INDEX($C67:$G71, _xlfn.SEQUENCE(5)-1, _xlfn.SEQUENCE(1,5)), 0),         AE66="Shift Left",   IF(_xlfn.SEQUENCE(1,5)+1&lt;=5, INDEX($C67:$G71, _xlfn.SEQUENCE(5), _xlfn.SEQUENCE(1,5)+1),0),         AE66= "Shift Right",  IF(_xlfn.SEQUENCE(1,5)-1&gt;=1, INDEX($C67:$G71, _xlfn.SEQUENCE(5), _xlfn.SEQUENCE(1,5)-1), 0),        AE66="Noise",  _xlfn.MAP($C67:$G71 + (_xlfn.RANDARRAY(ROWS($C67:$G71), COLUMNS($C67:$G71)) - 0.5) * 0.4, _xlfn.LAMBDA(_xlpm.x, MAX(0, MIN(1, _xlpm.x)))))</f>
        <v>0.19639197098300198</v>
      </c>
      <c r="AF67" s="5">
        <f ca="1"/>
        <v>1</v>
      </c>
      <c r="AG67" s="5">
        <f ca="1"/>
        <v>1</v>
      </c>
      <c r="AH67" s="5">
        <f ca="1"/>
        <v>1</v>
      </c>
      <c r="AI67" s="6">
        <f ca="1"/>
        <v>0.53012316518173996</v>
      </c>
      <c r="AJ67" s="3"/>
      <c r="AK67" s="3"/>
      <c r="AL67" s="4" cm="1">
        <f t="array" aca="1" ref="AL67:AP71" ca="1">_xlfn.IFS(AL66="None",  $C67:$G71*0,           AL66="Horizontal Flip", INDEX($C67:$G71, _xlfn.SEQUENCE(5), 6 - _xlfn.SEQUENCE(1,5)),        AL66="Vertical Flip", INDEX($C67:$G71, 6 - _xlfn.SEQUENCE(5), _xlfn.SEQUENCE(1,5)),      AL66="180 Rotation", INDEX($C67:$G71, 6 - _xlfn.SEQUENCE(5), 6 - _xlfn.SEQUENCE(1,5)),        AL66="90 CW", INDEX($C67:$G71, 6 - _xlfn.SEQUENCE(1,5), _xlfn.SEQUENCE(5)),          AL66="90 CCW", INDEX($C67:$G71, _xlfn.SEQUENCE(1,5), 6 - _xlfn.SEQUENCE(5)),         AL66="Shift Up", IF(_xlfn.SEQUENCE(5)+1&lt;=5, INDEX($C67:$G71, _xlfn.SEQUENCE(5)+1, _xlfn.SEQUENCE(1,5)), 0),         AL66="Shift Down", IF(_xlfn.SEQUENCE(5)-1&gt;=1, INDEX($C67:$G71, _xlfn.SEQUENCE(5)-1, _xlfn.SEQUENCE(1,5)), 0),         AL66="Shift Left",   IF(_xlfn.SEQUENCE(1,5)+1&lt;=5, INDEX($C67:$G71, _xlfn.SEQUENCE(5), _xlfn.SEQUENCE(1,5)+1),0),         AL66= "Shift Right",  IF(_xlfn.SEQUENCE(1,5)-1&gt;=1, INDEX($C67:$G71, _xlfn.SEQUENCE(5), _xlfn.SEQUENCE(1,5)-1), 0),        AL66="Noise",  _xlfn.MAP($C67:$G71 + (_xlfn.RANDARRAY(ROWS($C67:$G71), COLUMNS($C67:$G71)) - 0.5) * 0.4, _xlfn.LAMBDA(_xlpm.x, MAX(0, MIN(1, _xlpm.x)))))</f>
        <v>0.53012316518173996</v>
      </c>
      <c r="AM67" s="5">
        <f ca="1"/>
        <v>1</v>
      </c>
      <c r="AN67" s="5">
        <f ca="1"/>
        <v>1</v>
      </c>
      <c r="AO67" s="5">
        <f ca="1"/>
        <v>1</v>
      </c>
      <c r="AP67" s="6">
        <f ca="1"/>
        <v>0.19639197098300198</v>
      </c>
      <c r="AQ67" s="3"/>
      <c r="AR67" s="3"/>
      <c r="AS67" s="4" cm="1">
        <f t="array" aca="1" ref="AS67:AW71" ca="1">_xlfn.IFS(AS66="None",  $C67:$G71*0,           AS66="Horizontal Flip", INDEX($C67:$G71, _xlfn.SEQUENCE(5), 6 - _xlfn.SEQUENCE(1,5)),        AS66="Vertical Flip", INDEX($C67:$G71, 6 - _xlfn.SEQUENCE(5), _xlfn.SEQUENCE(1,5)),      AS66="180 Rotation", INDEX($C67:$G71, 6 - _xlfn.SEQUENCE(5), 6 - _xlfn.SEQUENCE(1,5)),        AS66="90 CW", INDEX($C67:$G71, 6 - _xlfn.SEQUENCE(1,5), _xlfn.SEQUENCE(5)),          AS66="90 CCW", INDEX($C67:$G71, _xlfn.SEQUENCE(1,5), 6 - _xlfn.SEQUENCE(5)),         AS66="Shift Up", IF(_xlfn.SEQUENCE(5)+1&lt;=5, INDEX($C67:$G71, _xlfn.SEQUENCE(5)+1, _xlfn.SEQUENCE(1,5)), 0),         AS66="Shift Down", IF(_xlfn.SEQUENCE(5)-1&gt;=1, INDEX($C67:$G71, _xlfn.SEQUENCE(5)-1, _xlfn.SEQUENCE(1,5)), 0),         AS66="Shift Left",   IF(_xlfn.SEQUENCE(1,5)+1&lt;=5, INDEX($C67:$G71, _xlfn.SEQUENCE(5), _xlfn.SEQUENCE(1,5)+1),0),         AS66= "Shift Right",  IF(_xlfn.SEQUENCE(1,5)-1&gt;=1, INDEX($C67:$G71, _xlfn.SEQUENCE(5), _xlfn.SEQUENCE(1,5)-1), 0),        AS66="Noise",  _xlfn.MAP($C67:$G71 + (_xlfn.RANDARRAY(ROWS($C67:$G71), COLUMNS($C67:$G71)) - 0.5) * 0.4, _xlfn.LAMBDA(_xlpm.x, MAX(0, MIN(1, _xlpm.x)))))</f>
        <v>0.26958536102128483</v>
      </c>
      <c r="AT67" s="5">
        <f ca="1"/>
        <v>1</v>
      </c>
      <c r="AU67" s="5">
        <f ca="1"/>
        <v>0.4874866902185151</v>
      </c>
      <c r="AV67" s="5">
        <f ca="1"/>
        <v>1</v>
      </c>
      <c r="AW67" s="6">
        <f ca="1"/>
        <v>0.51874224090715226</v>
      </c>
      <c r="AX67" s="3"/>
      <c r="AY67" s="3"/>
      <c r="AZ67" s="4" cm="1">
        <f t="array" aca="1" ref="AZ67:BD71" ca="1">_xlfn.IFS(AZ66="None",  $C67:$G71*0,           AZ66="Horizontal Flip", INDEX($C67:$G71, _xlfn.SEQUENCE(5), 6 - _xlfn.SEQUENCE(1,5)),        AZ66="Vertical Flip", INDEX($C67:$G71, 6 - _xlfn.SEQUENCE(5), _xlfn.SEQUENCE(1,5)),      AZ66="180 Rotation", INDEX($C67:$G71, 6 - _xlfn.SEQUENCE(5), 6 - _xlfn.SEQUENCE(1,5)),        AZ66="90 CW", INDEX($C67:$G71, 6 - _xlfn.SEQUENCE(1,5), _xlfn.SEQUENCE(5)),          AZ66="90 CCW", INDEX($C67:$G71, _xlfn.SEQUENCE(1,5), 6 - _xlfn.SEQUENCE(5)),         AZ66="Shift Up", IF(_xlfn.SEQUENCE(5)+1&lt;=5, INDEX($C67:$G71, _xlfn.SEQUENCE(5)+1, _xlfn.SEQUENCE(1,5)), 0),         AZ66="Shift Down", IF(_xlfn.SEQUENCE(5)-1&gt;=1, INDEX($C67:$G71, _xlfn.SEQUENCE(5)-1, _xlfn.SEQUENCE(1,5)), 0),         AZ66="Shift Left",   IF(_xlfn.SEQUENCE(1,5)+1&lt;=5, INDEX($C67:$G71, _xlfn.SEQUENCE(5), _xlfn.SEQUENCE(1,5)+1),0),         AZ66= "Shift Right",  IF(_xlfn.SEQUENCE(1,5)-1&gt;=1, INDEX($C67:$G71, _xlfn.SEQUENCE(5), _xlfn.SEQUENCE(1,5)-1), 0),        AZ66="Noise",  _xlfn.MAP($C67:$G71 + (_xlfn.RANDARRAY(ROWS($C67:$G71), COLUMNS($C67:$G71)) - 0.5) * 0.4, _xlfn.LAMBDA(_xlpm.x, MAX(0, MIN(1, _xlpm.x)))))</f>
        <v>0</v>
      </c>
      <c r="BA67" s="5">
        <f ca="1"/>
        <v>0.18342546386617398</v>
      </c>
      <c r="BB67" s="5">
        <f ca="1"/>
        <v>1</v>
      </c>
      <c r="BC67" s="5">
        <f ca="1"/>
        <v>1</v>
      </c>
      <c r="BD67" s="6">
        <f ca="1"/>
        <v>1</v>
      </c>
      <c r="BE67" s="3"/>
      <c r="BG67" s="4" cm="1">
        <f t="array" aca="1" ref="BG67:BK71" ca="1">_xlfn.IFS(BG66="None",  $C67:$G71*0,           BG66="Horizontal Flip", INDEX($C67:$G71, _xlfn.SEQUENCE(5), 6 - _xlfn.SEQUENCE(1,5)),        BG66="Vertical Flip", INDEX($C67:$G71, 6 - _xlfn.SEQUENCE(5), _xlfn.SEQUENCE(1,5)),      BG66="180 Rotation", INDEX($C67:$G71, 6 - _xlfn.SEQUENCE(5), 6 - _xlfn.SEQUENCE(1,5)),        BG66="90 CW", INDEX($C67:$G71, 6 - _xlfn.SEQUENCE(1,5), _xlfn.SEQUENCE(5)),          BG66="90 CCW", INDEX($C67:$G71, _xlfn.SEQUENCE(1,5), 6 - _xlfn.SEQUENCE(5)),         BG66="Shift Up", IF(_xlfn.SEQUENCE(5)+1&lt;=5, INDEX($C67:$G71, _xlfn.SEQUENCE(5)+1, _xlfn.SEQUENCE(1,5)), 0),         BG66="Shift Down", IF(_xlfn.SEQUENCE(5)-1&gt;=1, INDEX($C67:$G71, _xlfn.SEQUENCE(5)-1, _xlfn.SEQUENCE(1,5)), 0),         BG66="Shift Left",   IF(_xlfn.SEQUENCE(1,5)+1&lt;=5, INDEX($C67:$G71, _xlfn.SEQUENCE(5), _xlfn.SEQUENCE(1,5)+1),0),         BG66= "Shift Right",  IF(_xlfn.SEQUENCE(1,5)-1&gt;=1, INDEX($C67:$G71, _xlfn.SEQUENCE(5), _xlfn.SEQUENCE(1,5)-1), 0),        BG66="Noise",  _xlfn.MAP($C67:$G71 + (_xlfn.RANDARRAY(ROWS($C67:$G71), COLUMNS($C67:$G71)) - 0.5) * 0.4, _xlfn.LAMBDA(_xlpm.x, MAX(0, MIN(1, _xlpm.x)))))</f>
        <v>1</v>
      </c>
      <c r="BH67" s="5">
        <f ca="1"/>
        <v>1</v>
      </c>
      <c r="BI67" s="5">
        <f ca="1"/>
        <v>1</v>
      </c>
      <c r="BJ67" s="5">
        <f ca="1"/>
        <v>0.19947368371422125</v>
      </c>
      <c r="BK67" s="6">
        <f ca="1"/>
        <v>0</v>
      </c>
      <c r="BL67" s="3"/>
      <c r="BM67" s="3"/>
      <c r="BN67" s="4" cm="1">
        <f t="array" aca="1" ref="BN67:BR71" ca="1">_xlfn.IFS(BN66="None",  $C67:$G71*0,           BN66="Horizontal Flip", INDEX($C67:$G71, _xlfn.SEQUENCE(5), 6 - _xlfn.SEQUENCE(1,5)),        BN66="Vertical Flip", INDEX($C67:$G71, 6 - _xlfn.SEQUENCE(5), _xlfn.SEQUENCE(1,5)),      BN66="180 Rotation", INDEX($C67:$G71, 6 - _xlfn.SEQUENCE(5), 6 - _xlfn.SEQUENCE(1,5)),        BN66="90 CW", INDEX($C67:$G71, 6 - _xlfn.SEQUENCE(1,5), _xlfn.SEQUENCE(5)),          BN66="90 CCW", INDEX($C67:$G71, _xlfn.SEQUENCE(1,5), 6 - _xlfn.SEQUENCE(5)),         BN66="Shift Up", IF(_xlfn.SEQUENCE(5)+1&lt;=5, INDEX($C67:$G71, _xlfn.SEQUENCE(5)+1, _xlfn.SEQUENCE(1,5)), 0),         BN66="Shift Down", IF(_xlfn.SEQUENCE(5)-1&gt;=1, INDEX($C67:$G71, _xlfn.SEQUENCE(5)-1, _xlfn.SEQUENCE(1,5)), 0),         BN66="Shift Left",   IF(_xlfn.SEQUENCE(1,5)+1&lt;=5, INDEX($C67:$G71, _xlfn.SEQUENCE(5), _xlfn.SEQUENCE(1,5)+1),0),         BN66= "Shift Right",  IF(_xlfn.SEQUENCE(1,5)-1&gt;=1, INDEX($C67:$G71, _xlfn.SEQUENCE(5), _xlfn.SEQUENCE(1,5)-1), 0),        BN66="Noise",  _xlfn.MAP($C67:$G71 + (_xlfn.RANDARRAY(ROWS($C67:$G71), COLUMNS($C67:$G71)) - 0.5) * 0.4, _xlfn.LAMBDA(_xlpm.x, MAX(0, MIN(1, _xlpm.x)))))</f>
        <v>0.19639197098300198</v>
      </c>
      <c r="BO67" s="5">
        <f ca="1"/>
        <v>0.21732436038448644</v>
      </c>
      <c r="BP67" s="5">
        <f ca="1"/>
        <v>0.34709982929130223</v>
      </c>
      <c r="BQ67" s="5">
        <f ca="1"/>
        <v>0.26958536102128483</v>
      </c>
      <c r="BR67" s="6">
        <f ca="1"/>
        <v>0.18342546386617398</v>
      </c>
      <c r="BS67" s="3"/>
      <c r="BU67" s="4" cm="1">
        <f t="array" aca="1" ref="BU67:BY71" ca="1">_xlfn.IFS(BU66="None",  $C67:$G71*0,           BU66="Horizontal Flip", INDEX($C67:$G71, _xlfn.SEQUENCE(5), 6 - _xlfn.SEQUENCE(1,5)),        BU66="Vertical Flip", INDEX($C67:$G71, 6 - _xlfn.SEQUENCE(5), _xlfn.SEQUENCE(1,5)),      BU66="180 Rotation", INDEX($C67:$G71, 6 - _xlfn.SEQUENCE(5), 6 - _xlfn.SEQUENCE(1,5)),        BU66="90 CW", INDEX($C67:$G71, 6 - _xlfn.SEQUENCE(1,5), _xlfn.SEQUENCE(5)),          BU66="90 CCW", INDEX($C67:$G71, _xlfn.SEQUENCE(1,5), 6 - _xlfn.SEQUENCE(5)),         BU66="Shift Up", IF(_xlfn.SEQUENCE(5)+1&lt;=5, INDEX($C67:$G71, _xlfn.SEQUENCE(5)+1, _xlfn.SEQUENCE(1,5)), 0),         BU66="Shift Down", IF(_xlfn.SEQUENCE(5)-1&gt;=1, INDEX($C67:$G71, _xlfn.SEQUENCE(5)-1, _xlfn.SEQUENCE(1,5)), 0),         BU66="Shift Left",   IF(_xlfn.SEQUENCE(1,5)+1&lt;=5, INDEX($C67:$G71, _xlfn.SEQUENCE(5), _xlfn.SEQUENCE(1,5)+1),0),         BU66= "Shift Right",  IF(_xlfn.SEQUENCE(1,5)-1&gt;=1, INDEX($C67:$G71, _xlfn.SEQUENCE(5), _xlfn.SEQUENCE(1,5)-1), 0),        BU66="Noise",  _xlfn.MAP($C67:$G71 + (_xlfn.RANDARRAY(ROWS($C67:$G71), COLUMNS($C67:$G71)) - 0.5) * 0.4, _xlfn.LAMBDA(_xlpm.x, MAX(0, MIN(1, _xlpm.x)))))</f>
        <v>0.19947368371422125</v>
      </c>
      <c r="BV67" s="5">
        <f ca="1"/>
        <v>1</v>
      </c>
      <c r="BW67" s="5">
        <f ca="1"/>
        <v>1</v>
      </c>
      <c r="BX67" s="5">
        <f ca="1"/>
        <v>1</v>
      </c>
      <c r="BY67" s="6">
        <f ca="1"/>
        <v>0.18342546386617398</v>
      </c>
      <c r="CA67" s="29"/>
    </row>
    <row r="68" spans="1:79" s="1" customFormat="1" ht="18" customHeight="1" x14ac:dyDescent="0.2">
      <c r="A68" s="7"/>
      <c r="B68" s="99"/>
      <c r="C68" s="7">
        <v>0.26958536102128483</v>
      </c>
      <c r="D68" s="3">
        <v>1</v>
      </c>
      <c r="E68" s="3">
        <v>0.4874866902185151</v>
      </c>
      <c r="F68" s="3">
        <v>1</v>
      </c>
      <c r="G68" s="8">
        <v>0.51874224090715226</v>
      </c>
      <c r="H68" s="3"/>
      <c r="I68" s="3"/>
      <c r="J68" s="7">
        <f ca="1"/>
        <v>0.13113674650304952</v>
      </c>
      <c r="K68" s="3">
        <f ca="1"/>
        <v>0.961911586219239</v>
      </c>
      <c r="L68" s="3">
        <f ca="1"/>
        <v>0.35616679582567923</v>
      </c>
      <c r="M68" s="3">
        <f ca="1"/>
        <v>0.9750454012417471</v>
      </c>
      <c r="N68" s="8">
        <f ca="1"/>
        <v>0.44310665989057552</v>
      </c>
      <c r="O68" s="3"/>
      <c r="P68" s="3"/>
      <c r="Q68" s="7">
        <f ca="1"/>
        <v>1</v>
      </c>
      <c r="R68" s="3">
        <f ca="1"/>
        <v>1</v>
      </c>
      <c r="S68" s="3">
        <f ca="1"/>
        <v>1</v>
      </c>
      <c r="T68" s="3">
        <f ca="1"/>
        <v>1</v>
      </c>
      <c r="U68" s="8">
        <f ca="1"/>
        <v>1</v>
      </c>
      <c r="V68" s="3"/>
      <c r="W68" s="3"/>
      <c r="X68" s="7">
        <f ca="1"/>
        <v>0.18342546386617398</v>
      </c>
      <c r="Y68" s="3">
        <f ca="1"/>
        <v>1</v>
      </c>
      <c r="Z68" s="3">
        <f ca="1"/>
        <v>1</v>
      </c>
      <c r="AA68" s="3">
        <f ca="1"/>
        <v>1</v>
      </c>
      <c r="AB68" s="8">
        <f ca="1"/>
        <v>0.19947368371422125</v>
      </c>
      <c r="AC68" s="3"/>
      <c r="AD68" s="3"/>
      <c r="AE68" s="7">
        <f ca="1"/>
        <v>0.21732436038448644</v>
      </c>
      <c r="AF68" s="3">
        <f ca="1"/>
        <v>0.57542727657390846</v>
      </c>
      <c r="AG68" s="3">
        <f ca="1"/>
        <v>0.42233687282846499</v>
      </c>
      <c r="AH68" s="3">
        <f ca="1"/>
        <v>1</v>
      </c>
      <c r="AI68" s="8">
        <f ca="1"/>
        <v>0.22639110829676889</v>
      </c>
      <c r="AJ68" s="3"/>
      <c r="AK68" s="3"/>
      <c r="AL68" s="7">
        <f ca="1"/>
        <v>0.22639110829676889</v>
      </c>
      <c r="AM68" s="3">
        <f ca="1"/>
        <v>1</v>
      </c>
      <c r="AN68" s="3">
        <f ca="1"/>
        <v>0.42233687282846499</v>
      </c>
      <c r="AO68" s="3">
        <f ca="1"/>
        <v>0.57542727657390846</v>
      </c>
      <c r="AP68" s="8">
        <f ca="1"/>
        <v>0.21732436038448644</v>
      </c>
      <c r="AQ68" s="3"/>
      <c r="AR68" s="3"/>
      <c r="AS68" s="7">
        <f ca="1"/>
        <v>0.34709982929130223</v>
      </c>
      <c r="AT68" s="3">
        <f ca="1"/>
        <v>1</v>
      </c>
      <c r="AU68" s="3">
        <f ca="1"/>
        <v>1</v>
      </c>
      <c r="AV68" s="3">
        <f ca="1"/>
        <v>1</v>
      </c>
      <c r="AW68" s="8">
        <f ca="1"/>
        <v>0.18417476276971634</v>
      </c>
      <c r="AX68" s="3"/>
      <c r="AY68" s="3"/>
      <c r="AZ68" s="7">
        <f ca="1"/>
        <v>0</v>
      </c>
      <c r="BA68" s="3">
        <f ca="1"/>
        <v>0.26958536102128483</v>
      </c>
      <c r="BB68" s="3">
        <f ca="1"/>
        <v>1</v>
      </c>
      <c r="BC68" s="3">
        <f ca="1"/>
        <v>0.4874866902185151</v>
      </c>
      <c r="BD68" s="8">
        <f ca="1"/>
        <v>1</v>
      </c>
      <c r="BE68" s="3"/>
      <c r="BG68" s="7">
        <f ca="1"/>
        <v>1</v>
      </c>
      <c r="BH68" s="3">
        <f ca="1"/>
        <v>0.4874866902185151</v>
      </c>
      <c r="BI68" s="3">
        <f ca="1"/>
        <v>1</v>
      </c>
      <c r="BJ68" s="3">
        <f ca="1"/>
        <v>0.51874224090715226</v>
      </c>
      <c r="BK68" s="8">
        <f ca="1"/>
        <v>0</v>
      </c>
      <c r="BL68" s="3"/>
      <c r="BM68" s="3"/>
      <c r="BN68" s="7">
        <f ca="1"/>
        <v>1</v>
      </c>
      <c r="BO68" s="3">
        <f ca="1"/>
        <v>0.57542727657390846</v>
      </c>
      <c r="BP68" s="3">
        <f ca="1"/>
        <v>1</v>
      </c>
      <c r="BQ68" s="3">
        <f ca="1"/>
        <v>1</v>
      </c>
      <c r="BR68" s="8">
        <f ca="1"/>
        <v>1</v>
      </c>
      <c r="BS68" s="3"/>
      <c r="BU68" s="7">
        <f ca="1"/>
        <v>0.51874224090715226</v>
      </c>
      <c r="BV68" s="3">
        <f ca="1"/>
        <v>1</v>
      </c>
      <c r="BW68" s="3">
        <f ca="1"/>
        <v>0.4874866902185151</v>
      </c>
      <c r="BX68" s="3">
        <f ca="1"/>
        <v>1</v>
      </c>
      <c r="BY68" s="8">
        <f ca="1"/>
        <v>0.26958536102128483</v>
      </c>
      <c r="CA68" s="29"/>
    </row>
    <row r="69" spans="1:79" s="1" customFormat="1" ht="18" customHeight="1" x14ac:dyDescent="0.2">
      <c r="A69" s="7"/>
      <c r="B69" s="99"/>
      <c r="C69" s="7">
        <v>0.34709982929130223</v>
      </c>
      <c r="D69" s="3">
        <v>1</v>
      </c>
      <c r="E69" s="3">
        <v>1</v>
      </c>
      <c r="F69" s="3">
        <v>1</v>
      </c>
      <c r="G69" s="8">
        <v>0.18417476276971634</v>
      </c>
      <c r="H69" s="3"/>
      <c r="I69" s="3"/>
      <c r="J69" s="7">
        <f ca="1"/>
        <v>0.22478071500293567</v>
      </c>
      <c r="K69" s="3">
        <f ca="1"/>
        <v>0.89241476839328937</v>
      </c>
      <c r="L69" s="3">
        <f ca="1"/>
        <v>0.99285238804668752</v>
      </c>
      <c r="M69" s="3">
        <f ca="1"/>
        <v>1</v>
      </c>
      <c r="N69" s="8">
        <f ca="1"/>
        <v>8.4313741316863755E-2</v>
      </c>
      <c r="O69" s="3"/>
      <c r="P69" s="3"/>
      <c r="Q69" s="7">
        <f ca="1"/>
        <v>1</v>
      </c>
      <c r="R69" s="3">
        <f ca="1"/>
        <v>0.4874866902185151</v>
      </c>
      <c r="S69" s="3">
        <f ca="1"/>
        <v>1</v>
      </c>
      <c r="T69" s="3">
        <f ca="1"/>
        <v>0.42233687282846499</v>
      </c>
      <c r="U69" s="8">
        <f ca="1"/>
        <v>1</v>
      </c>
      <c r="V69" s="3"/>
      <c r="W69" s="3"/>
      <c r="X69" s="7">
        <f ca="1"/>
        <v>0.26958536102128483</v>
      </c>
      <c r="Y69" s="3">
        <f ca="1"/>
        <v>1</v>
      </c>
      <c r="Z69" s="3">
        <f ca="1"/>
        <v>0.4874866902185151</v>
      </c>
      <c r="AA69" s="3">
        <f ca="1"/>
        <v>1</v>
      </c>
      <c r="AB69" s="8">
        <f ca="1"/>
        <v>0.51874224090715226</v>
      </c>
      <c r="AC69" s="3"/>
      <c r="AD69" s="3"/>
      <c r="AE69" s="7">
        <f ca="1"/>
        <v>0.34709982929130223</v>
      </c>
      <c r="AF69" s="3">
        <f ca="1"/>
        <v>1</v>
      </c>
      <c r="AG69" s="3">
        <f ca="1"/>
        <v>1</v>
      </c>
      <c r="AH69" s="3">
        <f ca="1"/>
        <v>1</v>
      </c>
      <c r="AI69" s="8">
        <f ca="1"/>
        <v>0.18417476276971634</v>
      </c>
      <c r="AJ69" s="3"/>
      <c r="AK69" s="3"/>
      <c r="AL69" s="7">
        <f ca="1"/>
        <v>0.18417476276971634</v>
      </c>
      <c r="AM69" s="3">
        <f ca="1"/>
        <v>1</v>
      </c>
      <c r="AN69" s="3">
        <f ca="1"/>
        <v>1</v>
      </c>
      <c r="AO69" s="3">
        <f ca="1"/>
        <v>1</v>
      </c>
      <c r="AP69" s="8">
        <f ca="1"/>
        <v>0.34709982929130223</v>
      </c>
      <c r="AQ69" s="3"/>
      <c r="AR69" s="3"/>
      <c r="AS69" s="7">
        <f ca="1"/>
        <v>0.21732436038448644</v>
      </c>
      <c r="AT69" s="3">
        <f ca="1"/>
        <v>0.57542727657390846</v>
      </c>
      <c r="AU69" s="3">
        <f ca="1"/>
        <v>0.42233687282846499</v>
      </c>
      <c r="AV69" s="3">
        <f ca="1"/>
        <v>1</v>
      </c>
      <c r="AW69" s="8">
        <f ca="1"/>
        <v>0.22639110829676889</v>
      </c>
      <c r="AX69" s="3"/>
      <c r="AY69" s="3"/>
      <c r="AZ69" s="7">
        <f ca="1"/>
        <v>0</v>
      </c>
      <c r="BA69" s="3">
        <f ca="1"/>
        <v>0.34709982929130223</v>
      </c>
      <c r="BB69" s="3">
        <f ca="1"/>
        <v>1</v>
      </c>
      <c r="BC69" s="3">
        <f ca="1"/>
        <v>1</v>
      </c>
      <c r="BD69" s="8">
        <f ca="1"/>
        <v>1</v>
      </c>
      <c r="BE69" s="3"/>
      <c r="BG69" s="7">
        <f ca="1"/>
        <v>1</v>
      </c>
      <c r="BH69" s="3">
        <f ca="1"/>
        <v>1</v>
      </c>
      <c r="BI69" s="3">
        <f ca="1"/>
        <v>1</v>
      </c>
      <c r="BJ69" s="3">
        <f ca="1"/>
        <v>0.18417476276971634</v>
      </c>
      <c r="BK69" s="8">
        <f ca="1"/>
        <v>0</v>
      </c>
      <c r="BL69" s="3"/>
      <c r="BM69" s="3"/>
      <c r="BN69" s="7">
        <f ca="1"/>
        <v>1</v>
      </c>
      <c r="BO69" s="3">
        <f ca="1"/>
        <v>0.42233687282846499</v>
      </c>
      <c r="BP69" s="3">
        <f ca="1"/>
        <v>1</v>
      </c>
      <c r="BQ69" s="3">
        <f ca="1"/>
        <v>0.4874866902185151</v>
      </c>
      <c r="BR69" s="8">
        <f ca="1"/>
        <v>1</v>
      </c>
      <c r="BS69" s="3"/>
      <c r="BU69" s="7">
        <f ca="1"/>
        <v>0.18417476276971634</v>
      </c>
      <c r="BV69" s="3">
        <f ca="1"/>
        <v>1</v>
      </c>
      <c r="BW69" s="3">
        <f ca="1"/>
        <v>1</v>
      </c>
      <c r="BX69" s="3">
        <f ca="1"/>
        <v>1</v>
      </c>
      <c r="BY69" s="8">
        <f ca="1"/>
        <v>0.34709982929130223</v>
      </c>
      <c r="CA69" s="29"/>
    </row>
    <row r="70" spans="1:79" s="1" customFormat="1" ht="18" customHeight="1" x14ac:dyDescent="0.2">
      <c r="A70" s="7"/>
      <c r="B70" s="99"/>
      <c r="C70" s="7">
        <v>0.21732436038448644</v>
      </c>
      <c r="D70" s="3">
        <v>0.57542727657390846</v>
      </c>
      <c r="E70" s="3">
        <v>0.42233687282846499</v>
      </c>
      <c r="F70" s="3">
        <v>1</v>
      </c>
      <c r="G70" s="8">
        <v>0.22639110829676889</v>
      </c>
      <c r="H70" s="3"/>
      <c r="I70" s="3"/>
      <c r="J70" s="7">
        <f ca="1"/>
        <v>9.411210000525988E-2</v>
      </c>
      <c r="K70" s="3">
        <f ca="1"/>
        <v>0.55069144728966524</v>
      </c>
      <c r="L70" s="3">
        <f ca="1"/>
        <v>0.28300058365423963</v>
      </c>
      <c r="M70" s="3">
        <f ca="1"/>
        <v>1</v>
      </c>
      <c r="N70" s="8">
        <f ca="1"/>
        <v>2.8679773792668145E-2</v>
      </c>
      <c r="O70" s="3"/>
      <c r="P70" s="3"/>
      <c r="Q70" s="7">
        <f ca="1"/>
        <v>1</v>
      </c>
      <c r="R70" s="3">
        <f ca="1"/>
        <v>1</v>
      </c>
      <c r="S70" s="3">
        <f ca="1"/>
        <v>1</v>
      </c>
      <c r="T70" s="3">
        <f ca="1"/>
        <v>0.57542727657390846</v>
      </c>
      <c r="U70" s="8">
        <f ca="1"/>
        <v>1</v>
      </c>
      <c r="V70" s="3"/>
      <c r="W70" s="3"/>
      <c r="X70" s="7">
        <f ca="1"/>
        <v>0.34709982929130223</v>
      </c>
      <c r="Y70" s="3">
        <f ca="1"/>
        <v>1</v>
      </c>
      <c r="Z70" s="3">
        <f ca="1"/>
        <v>1</v>
      </c>
      <c r="AA70" s="3">
        <f ca="1"/>
        <v>1</v>
      </c>
      <c r="AB70" s="8">
        <f ca="1"/>
        <v>0.18417476276971634</v>
      </c>
      <c r="AC70" s="3"/>
      <c r="AD70" s="3"/>
      <c r="AE70" s="7">
        <f ca="1"/>
        <v>0.26958536102128483</v>
      </c>
      <c r="AF70" s="3">
        <f ca="1"/>
        <v>1</v>
      </c>
      <c r="AG70" s="3">
        <f ca="1"/>
        <v>0.4874866902185151</v>
      </c>
      <c r="AH70" s="3">
        <f ca="1"/>
        <v>1</v>
      </c>
      <c r="AI70" s="8">
        <f ca="1"/>
        <v>0.51874224090715226</v>
      </c>
      <c r="AJ70" s="3"/>
      <c r="AK70" s="3"/>
      <c r="AL70" s="7">
        <f ca="1"/>
        <v>0.51874224090715226</v>
      </c>
      <c r="AM70" s="3">
        <f ca="1"/>
        <v>1</v>
      </c>
      <c r="AN70" s="3">
        <f ca="1"/>
        <v>0.4874866902185151</v>
      </c>
      <c r="AO70" s="3">
        <f ca="1"/>
        <v>1</v>
      </c>
      <c r="AP70" s="8">
        <f ca="1"/>
        <v>0.26958536102128483</v>
      </c>
      <c r="AQ70" s="3"/>
      <c r="AR70" s="3"/>
      <c r="AS70" s="7">
        <f ca="1"/>
        <v>0.19639197098300198</v>
      </c>
      <c r="AT70" s="3">
        <f ca="1"/>
        <v>1</v>
      </c>
      <c r="AU70" s="3">
        <f ca="1"/>
        <v>1</v>
      </c>
      <c r="AV70" s="3">
        <f ca="1"/>
        <v>1</v>
      </c>
      <c r="AW70" s="8">
        <f ca="1"/>
        <v>0.53012316518173996</v>
      </c>
      <c r="AX70" s="3"/>
      <c r="AY70" s="3"/>
      <c r="AZ70" s="7">
        <f ca="1"/>
        <v>0</v>
      </c>
      <c r="BA70" s="3">
        <f ca="1"/>
        <v>0.21732436038448644</v>
      </c>
      <c r="BB70" s="3">
        <f ca="1"/>
        <v>0.57542727657390846</v>
      </c>
      <c r="BC70" s="3">
        <f ca="1"/>
        <v>0.42233687282846499</v>
      </c>
      <c r="BD70" s="8">
        <f ca="1"/>
        <v>1</v>
      </c>
      <c r="BE70" s="3"/>
      <c r="BG70" s="7">
        <f ca="1"/>
        <v>0.57542727657390846</v>
      </c>
      <c r="BH70" s="3">
        <f ca="1"/>
        <v>0.42233687282846499</v>
      </c>
      <c r="BI70" s="3">
        <f ca="1"/>
        <v>1</v>
      </c>
      <c r="BJ70" s="3">
        <f ca="1"/>
        <v>0.22639110829676889</v>
      </c>
      <c r="BK70" s="8">
        <f ca="1"/>
        <v>0</v>
      </c>
      <c r="BL70" s="3"/>
      <c r="BM70" s="3"/>
      <c r="BN70" s="7">
        <f ca="1"/>
        <v>1</v>
      </c>
      <c r="BO70" s="3">
        <f ca="1"/>
        <v>1</v>
      </c>
      <c r="BP70" s="3">
        <f ca="1"/>
        <v>1</v>
      </c>
      <c r="BQ70" s="3">
        <f ca="1"/>
        <v>1</v>
      </c>
      <c r="BR70" s="8">
        <f ca="1"/>
        <v>1</v>
      </c>
      <c r="BS70" s="3"/>
      <c r="BU70" s="7">
        <f ca="1"/>
        <v>0.22639110829676889</v>
      </c>
      <c r="BV70" s="3">
        <f ca="1"/>
        <v>1</v>
      </c>
      <c r="BW70" s="3">
        <f ca="1"/>
        <v>0.42233687282846499</v>
      </c>
      <c r="BX70" s="3">
        <f ca="1"/>
        <v>0.57542727657390846</v>
      </c>
      <c r="BY70" s="8">
        <f ca="1"/>
        <v>0.21732436038448644</v>
      </c>
      <c r="CA70" s="29"/>
    </row>
    <row r="71" spans="1:79" s="1" customFormat="1" ht="18" customHeight="1" thickBot="1" x14ac:dyDescent="0.25">
      <c r="B71" s="99"/>
      <c r="C71" s="9">
        <v>0.19639197098300198</v>
      </c>
      <c r="D71" s="10">
        <v>1</v>
      </c>
      <c r="E71" s="10">
        <v>1</v>
      </c>
      <c r="F71" s="10">
        <v>1</v>
      </c>
      <c r="G71" s="11">
        <v>0.53012316518173996</v>
      </c>
      <c r="H71" s="3"/>
      <c r="I71" s="3"/>
      <c r="J71" s="9">
        <f ca="1"/>
        <v>0.17018161399828613</v>
      </c>
      <c r="K71" s="10">
        <f ca="1"/>
        <v>1</v>
      </c>
      <c r="L71" s="10">
        <f ca="1"/>
        <v>1</v>
      </c>
      <c r="M71" s="10">
        <f ca="1"/>
        <v>1</v>
      </c>
      <c r="N71" s="11">
        <f ca="1"/>
        <v>0.5409541578368614</v>
      </c>
      <c r="O71" s="3"/>
      <c r="P71" s="3"/>
      <c r="Q71" s="9">
        <f ca="1"/>
        <v>0.18342546386617398</v>
      </c>
      <c r="R71" s="10">
        <f ca="1"/>
        <v>0.26958536102128483</v>
      </c>
      <c r="S71" s="10">
        <f ca="1"/>
        <v>0.34709982929130223</v>
      </c>
      <c r="T71" s="10">
        <f ca="1"/>
        <v>0.21732436038448644</v>
      </c>
      <c r="U71" s="11">
        <f ca="1"/>
        <v>0.19639197098300198</v>
      </c>
      <c r="V71" s="3"/>
      <c r="W71" s="3"/>
      <c r="X71" s="9">
        <f ca="1"/>
        <v>0.21732436038448644</v>
      </c>
      <c r="Y71" s="10">
        <f ca="1"/>
        <v>0.57542727657390846</v>
      </c>
      <c r="Z71" s="10">
        <f ca="1"/>
        <v>0.42233687282846499</v>
      </c>
      <c r="AA71" s="10">
        <f ca="1"/>
        <v>1</v>
      </c>
      <c r="AB71" s="11">
        <f ca="1"/>
        <v>0.22639110829676889</v>
      </c>
      <c r="AC71" s="3"/>
      <c r="AD71" s="3"/>
      <c r="AE71" s="9">
        <f ca="1"/>
        <v>0.18342546386617398</v>
      </c>
      <c r="AF71" s="10">
        <f ca="1"/>
        <v>1</v>
      </c>
      <c r="AG71" s="10">
        <f ca="1"/>
        <v>1</v>
      </c>
      <c r="AH71" s="10">
        <f ca="1"/>
        <v>1</v>
      </c>
      <c r="AI71" s="11">
        <f ca="1"/>
        <v>0.19947368371422125</v>
      </c>
      <c r="AJ71" s="3"/>
      <c r="AK71" s="3"/>
      <c r="AL71" s="9">
        <f ca="1"/>
        <v>0.19947368371422125</v>
      </c>
      <c r="AM71" s="10">
        <f ca="1"/>
        <v>1</v>
      </c>
      <c r="AN71" s="10">
        <f ca="1"/>
        <v>1</v>
      </c>
      <c r="AO71" s="10">
        <f ca="1"/>
        <v>1</v>
      </c>
      <c r="AP71" s="11">
        <f ca="1"/>
        <v>0.18342546386617398</v>
      </c>
      <c r="AQ71" s="3"/>
      <c r="AR71" s="3"/>
      <c r="AS71" s="9">
        <f ca="1"/>
        <v>0</v>
      </c>
      <c r="AT71" s="10">
        <f ca="1"/>
        <v>0</v>
      </c>
      <c r="AU71" s="10">
        <f ca="1"/>
        <v>0</v>
      </c>
      <c r="AV71" s="10">
        <f ca="1"/>
        <v>0</v>
      </c>
      <c r="AW71" s="11">
        <f ca="1"/>
        <v>0</v>
      </c>
      <c r="AX71" s="3"/>
      <c r="AY71" s="3"/>
      <c r="AZ71" s="9">
        <f ca="1"/>
        <v>0</v>
      </c>
      <c r="BA71" s="10">
        <f ca="1"/>
        <v>0.19639197098300198</v>
      </c>
      <c r="BB71" s="10">
        <f ca="1"/>
        <v>1</v>
      </c>
      <c r="BC71" s="10">
        <f ca="1"/>
        <v>1</v>
      </c>
      <c r="BD71" s="11">
        <f ca="1"/>
        <v>1</v>
      </c>
      <c r="BE71" s="3"/>
      <c r="BG71" s="9">
        <f ca="1"/>
        <v>1</v>
      </c>
      <c r="BH71" s="10">
        <f ca="1"/>
        <v>1</v>
      </c>
      <c r="BI71" s="10">
        <f ca="1"/>
        <v>1</v>
      </c>
      <c r="BJ71" s="10">
        <f ca="1"/>
        <v>0.53012316518173996</v>
      </c>
      <c r="BK71" s="11">
        <f ca="1"/>
        <v>0</v>
      </c>
      <c r="BL71" s="3"/>
      <c r="BM71" s="3"/>
      <c r="BN71" s="9">
        <f ca="1"/>
        <v>0.53012316518173996</v>
      </c>
      <c r="BO71" s="10">
        <f ca="1"/>
        <v>0.22639110829676889</v>
      </c>
      <c r="BP71" s="10">
        <f ca="1"/>
        <v>0.18417476276971634</v>
      </c>
      <c r="BQ71" s="10">
        <f ca="1"/>
        <v>0.51874224090715226</v>
      </c>
      <c r="BR71" s="11">
        <f ca="1"/>
        <v>0.19947368371422125</v>
      </c>
      <c r="BS71" s="3"/>
      <c r="BU71" s="9">
        <f ca="1"/>
        <v>0.53012316518173996</v>
      </c>
      <c r="BV71" s="10">
        <f ca="1"/>
        <v>1</v>
      </c>
      <c r="BW71" s="10">
        <f ca="1"/>
        <v>1</v>
      </c>
      <c r="BX71" s="10">
        <f ca="1"/>
        <v>1</v>
      </c>
      <c r="BY71" s="11">
        <f ca="1"/>
        <v>0.19639197098300198</v>
      </c>
      <c r="CA71" s="29"/>
    </row>
    <row r="72" spans="1:79" s="1" customFormat="1" ht="18" customHeight="1" x14ac:dyDescent="0.2">
      <c r="A72" s="7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E72" s="3"/>
      <c r="BL72" s="3"/>
      <c r="BN72" s="3"/>
      <c r="BO72" s="3"/>
      <c r="BP72" s="3"/>
      <c r="BQ72" s="3"/>
      <c r="BR72" s="3"/>
      <c r="BS72" s="3"/>
      <c r="CA72" s="29"/>
    </row>
    <row r="73" spans="1:79" s="1" customFormat="1" ht="18" customHeight="1" thickBot="1" x14ac:dyDescent="0.25">
      <c r="A73" s="9"/>
      <c r="B73" s="3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31"/>
      <c r="BE73" s="10"/>
      <c r="BF73" s="31"/>
      <c r="BG73" s="31"/>
      <c r="BH73" s="31"/>
      <c r="BI73" s="31"/>
      <c r="BJ73" s="31"/>
      <c r="BK73" s="31"/>
      <c r="BL73" s="10"/>
      <c r="BM73" s="31"/>
      <c r="BN73" s="10"/>
      <c r="BO73" s="10"/>
      <c r="BP73" s="10"/>
      <c r="BQ73" s="10"/>
      <c r="BR73" s="10"/>
      <c r="BS73" s="10"/>
      <c r="BT73" s="31"/>
      <c r="BU73" s="31"/>
      <c r="BV73" s="31"/>
      <c r="BW73" s="31"/>
      <c r="BX73" s="31"/>
      <c r="BY73" s="31"/>
      <c r="BZ73" s="31"/>
      <c r="CA73" s="32"/>
    </row>
  </sheetData>
  <mergeCells count="131">
    <mergeCell ref="B38:B43"/>
    <mergeCell ref="B45:B50"/>
    <mergeCell ref="B52:B57"/>
    <mergeCell ref="B59:B64"/>
    <mergeCell ref="B66:B71"/>
    <mergeCell ref="AS66:AW66"/>
    <mergeCell ref="AZ66:BD66"/>
    <mergeCell ref="BG66:BK66"/>
    <mergeCell ref="BN66:BR66"/>
    <mergeCell ref="J59:N59"/>
    <mergeCell ref="Q59:U59"/>
    <mergeCell ref="X59:AB59"/>
    <mergeCell ref="AE59:AI59"/>
    <mergeCell ref="C52:G52"/>
    <mergeCell ref="J52:N52"/>
    <mergeCell ref="Q52:U52"/>
    <mergeCell ref="X52:AB52"/>
    <mergeCell ref="AE52:AI52"/>
    <mergeCell ref="AL52:AP52"/>
    <mergeCell ref="AL45:AP45"/>
    <mergeCell ref="AS45:AW45"/>
    <mergeCell ref="AZ45:BD45"/>
    <mergeCell ref="BG45:BK45"/>
    <mergeCell ref="BN45:BR45"/>
    <mergeCell ref="BU66:BY66"/>
    <mergeCell ref="B3:B8"/>
    <mergeCell ref="B10:B15"/>
    <mergeCell ref="B17:B22"/>
    <mergeCell ref="B24:B29"/>
    <mergeCell ref="B31:B36"/>
    <mergeCell ref="C66:G66"/>
    <mergeCell ref="J66:N66"/>
    <mergeCell ref="Q66:U66"/>
    <mergeCell ref="X66:AB66"/>
    <mergeCell ref="AE66:AI66"/>
    <mergeCell ref="AL66:AP66"/>
    <mergeCell ref="AL59:AP59"/>
    <mergeCell ref="AS59:AW59"/>
    <mergeCell ref="AZ59:BD59"/>
    <mergeCell ref="BG59:BK59"/>
    <mergeCell ref="BN59:BR59"/>
    <mergeCell ref="BU59:BY59"/>
    <mergeCell ref="AS52:AW52"/>
    <mergeCell ref="AZ52:BD52"/>
    <mergeCell ref="BG52:BK52"/>
    <mergeCell ref="BN52:BR52"/>
    <mergeCell ref="BU52:BY52"/>
    <mergeCell ref="C59:G59"/>
    <mergeCell ref="BU45:BY45"/>
    <mergeCell ref="AS38:AW38"/>
    <mergeCell ref="AZ38:BD38"/>
    <mergeCell ref="BG38:BK38"/>
    <mergeCell ref="BN38:BR38"/>
    <mergeCell ref="BU38:BY38"/>
    <mergeCell ref="C45:G45"/>
    <mergeCell ref="J45:N45"/>
    <mergeCell ref="Q45:U45"/>
    <mergeCell ref="X45:AB45"/>
    <mergeCell ref="AE45:AI45"/>
    <mergeCell ref="C38:G38"/>
    <mergeCell ref="J38:N38"/>
    <mergeCell ref="Q38:U38"/>
    <mergeCell ref="X38:AB38"/>
    <mergeCell ref="AE38:AI38"/>
    <mergeCell ref="AL38:AP38"/>
    <mergeCell ref="AL31:AP31"/>
    <mergeCell ref="AS31:AW31"/>
    <mergeCell ref="AZ31:BD31"/>
    <mergeCell ref="BG31:BK31"/>
    <mergeCell ref="BN31:BR31"/>
    <mergeCell ref="BU31:BY31"/>
    <mergeCell ref="AS24:AW24"/>
    <mergeCell ref="AZ24:BD24"/>
    <mergeCell ref="BG24:BK24"/>
    <mergeCell ref="BN24:BR24"/>
    <mergeCell ref="BU24:BY24"/>
    <mergeCell ref="AL24:AP24"/>
    <mergeCell ref="C31:G31"/>
    <mergeCell ref="J31:N31"/>
    <mergeCell ref="Q31:U31"/>
    <mergeCell ref="X31:AB31"/>
    <mergeCell ref="AE31:AI31"/>
    <mergeCell ref="C24:G24"/>
    <mergeCell ref="J24:N24"/>
    <mergeCell ref="Q24:U24"/>
    <mergeCell ref="X24:AB24"/>
    <mergeCell ref="AE24:AI24"/>
    <mergeCell ref="AL17:AP17"/>
    <mergeCell ref="AS17:AW17"/>
    <mergeCell ref="AZ17:BD17"/>
    <mergeCell ref="BG17:BK17"/>
    <mergeCell ref="BN17:BR17"/>
    <mergeCell ref="BU17:BY17"/>
    <mergeCell ref="AS10:AW10"/>
    <mergeCell ref="AZ10:BD10"/>
    <mergeCell ref="BG10:BK10"/>
    <mergeCell ref="BN10:BR10"/>
    <mergeCell ref="BU10:BY10"/>
    <mergeCell ref="AL10:AP10"/>
    <mergeCell ref="C17:G17"/>
    <mergeCell ref="J17:N17"/>
    <mergeCell ref="Q17:U17"/>
    <mergeCell ref="X17:AB17"/>
    <mergeCell ref="AE17:AI17"/>
    <mergeCell ref="C10:G10"/>
    <mergeCell ref="J10:N10"/>
    <mergeCell ref="Q10:U10"/>
    <mergeCell ref="X10:AB10"/>
    <mergeCell ref="AE10:AI10"/>
    <mergeCell ref="AL3:AP3"/>
    <mergeCell ref="AS3:AW3"/>
    <mergeCell ref="AZ3:BD3"/>
    <mergeCell ref="BG3:BK3"/>
    <mergeCell ref="BN3:BR3"/>
    <mergeCell ref="BU3:BY3"/>
    <mergeCell ref="AS2:AW2"/>
    <mergeCell ref="AZ2:BD2"/>
    <mergeCell ref="BG2:BK2"/>
    <mergeCell ref="BN2:BR2"/>
    <mergeCell ref="BU2:BY2"/>
    <mergeCell ref="AL2:AP2"/>
    <mergeCell ref="C3:G3"/>
    <mergeCell ref="J3:N3"/>
    <mergeCell ref="Q3:U3"/>
    <mergeCell ref="X3:AB3"/>
    <mergeCell ref="AE3:AI3"/>
    <mergeCell ref="C2:G2"/>
    <mergeCell ref="J2:N2"/>
    <mergeCell ref="Q2:U2"/>
    <mergeCell ref="X2:AB2"/>
    <mergeCell ref="AE2:AI2"/>
  </mergeCells>
  <conditionalFormatting sqref="C72:H1048576 C3:H3 C10:H10 C17:H17 C24:H24 C31:H31 C38:H38 C45:H45 C52:H52 C59:H59 C66:H66 C4:N9 C11:N16 C25:N30 C32:N37 C46:N51 C53:N58 C67:N71 C18:N23 C39:N44 C60:N65 O3:O71 CA18:CD22">
    <cfRule type="colorScale" priority="2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Q4:U9 Q11:U16 Q18:U23 Q25:U30 Q32:U37 Q39:U44 Q46:U51 Q53:U58 Q60:U65 Q67:U71">
    <cfRule type="colorScale" priority="1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V3:V71">
    <cfRule type="colorScale" priority="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W4:W9 W11:W16 W18:W23 W25:W30 W32:W37 W39:W44 W46:W51 W53:W58 W60:W65 W67:W71">
    <cfRule type="colorScale" priority="2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X4:AB9 X11:AB16 X18:AB23 X25:AB30 X32:AB37 X39:AB44 X46:AB51 X53:AB58 X60:AB65 X67:AB71">
    <cfRule type="colorScale" priority="1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C3:AC71">
    <cfRule type="colorScale" priority="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E4:AI9 AE11:AI16 AE18:AI23 AE25:AI30 AE32:AI37 AE39:AI44 AE46:AI51 AE53:AI58 AE60:AI65 AE67:AI71">
    <cfRule type="colorScale" priority="1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J3:AJ71">
    <cfRule type="colorScale" priority="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K4:AK9 AK11:AK16 AK18:AK23 AK25:AK30 AK32:AK37 AK39:AK44 AK46:AK51 AK53:AK58 AK60:AK65 AK67:AK71">
    <cfRule type="colorScale" priority="2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L4:AP9 AL11:AP16 AL18:AP23 AL25:AP30 AL32:AP37 AL39:AP44 AL46:AP51 AL53:AP58 AL60:AP65 AL67:AP71">
    <cfRule type="colorScale" priority="1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Q3:AQ71">
    <cfRule type="colorScale" priority="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S4:AW9 AS11:AW16 AS18:AW23 AS25:AW30 AS32:AW37 AS39:AW44 AS46:AW51 AS53:AW58 AS60:AW65 AS67:AW71">
    <cfRule type="colorScale" priority="1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X3:AX71">
    <cfRule type="colorScale" priority="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Y4:AY9 AY11:AY16 AY18:AY23 AY25:AY30 AY32:AY37 AY39:AY44 AY46:AY51 AY53:AY58 AY60:AY65 AY67:AY71">
    <cfRule type="colorScale" priority="1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Z4:BD9 AZ11:BD16 AZ18:BD23 AZ25:BD30 AZ32:BD37 AZ39:BD44 AZ46:BD51 AZ53:BD58 AZ60:BD65 AZ67:BD71">
    <cfRule type="colorScale" priority="1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E3:BE71">
    <cfRule type="colorScale" priority="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G4:BK9 BG11:BK16 BG18:BK23 BG25:BK30 BG32:BK37 BG39:BK44 BG46:BK51 BG53:BK58 BG60:BK65 BG67:BK71">
    <cfRule type="colorScale" priority="1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L3:BL71">
    <cfRule type="colorScale" priority="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M4:BM9 BM11:BM16 BM18:BM23 BM25:BM30 BM32:BM37 BM39:BM44 BM46:BM51 BM53:BM58 BM60:BM65 BM67:BM71">
    <cfRule type="colorScale" priority="1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N4:BR9 BN11:BR16 BN18:BR23 BN25:BR30 BN32:BR37 BN39:BR44 BN46:BR51 BN53:BR58 BN60:BR65 BN67:BR71">
    <cfRule type="colorScale" priority="1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S3:BS71">
    <cfRule type="colorScale" priority="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U4:BY9 BU11:BY16 BU18:BY23 BU25:BY30 BU32:BY37 BU39:BY44 BU46:BY51 BU53:BY58 BU60:BY65 BU67:BY71">
    <cfRule type="colorScale" priority="1">
      <colorScale>
        <cfvo type="num" val="0"/>
        <cfvo type="num" val="1"/>
        <color theme="1" tint="0.14999847407452621"/>
        <color theme="0" tint="-4.9989318521683403E-2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C60E12-7982-3747-B2ED-7F7F4D270C63}">
          <x14:formula1>
            <xm:f>Helper!$E$12:$E$22</xm:f>
          </x14:formula1>
          <xm:sqref>BN59:BR59 BN66:BR66 BU3:BY3 BU10:BY10 BU17:BY17 BU24:BY24 BU31:BY31 BU38:BY38 BU45:BY45 BU52:BY52 BU59:BY59 BG59:BK59 J38:N38 J17:N17 J52:N52 J45:N45 BN52:BR52 J31:N31 J24:N24 J3:N3 J10:N10 J59:N59 J66:N66 Q3:U3 Q10:U10 Q17:U17 Q24:U24 Q31:U31 Q38:U38 Q45:U45 Q52:U52 Q59:U59 X3:AB3 Q66:U66 X10:AB10 X17:AB17 X24:AB24 X31:AB31 X38:AB38 X45:AB45 X52:AB52 X59:AB59 X66:AB66 AE3:AI3 AE10:AI10 AE17:AI17 AE24:AI24 AE31:AI31 AE38:AI38 BN24:BR24 AE45:AI45 AE52:AI52 AE59:AI59 AL3:AP3 BN45:BR45 BN38:BR38 AE66:AI66 BN31:BR31 BN17:BR17 BN10:BR10 BN3:BR3 BG66:BK66 AL66:AP66 AS3:AW3 AS10:AW10 AS17:AW17 AS24:AW24 AS31:AW31 AS38:AW38 AS45:AW45 AS52:AW52 AS59:AW59 AS66:AW66 AZ3:BD3 AZ10:BD10 AZ17:BD17 AZ24:BD24 AZ31:BD31 AZ38:BD38 AZ45:BD45 AZ52:BD52 AZ59:BD59 AZ66:BD66 BG3:BK3 BG10:BK10 BG17:BK17 BG24:BK24 BG31:BK31 BG38:BK38 BG45:BK45 BG52:BK52 AL10:AP10 AL17:AP17 AL24:AP24 AL31:AP31 AL38:AP38 AL45:AP45 AL52:AP52 AL59:AP59 BU66:BY66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3C05-7AD0-2741-AA68-BF1A585EA73D}">
  <dimension ref="A1:E30"/>
  <sheetViews>
    <sheetView showGridLines="0" zoomScale="150" workbookViewId="0">
      <selection activeCell="A2" sqref="A2"/>
    </sheetView>
  </sheetViews>
  <sheetFormatPr baseColWidth="10" defaultRowHeight="15" x14ac:dyDescent="0.2"/>
  <cols>
    <col min="1" max="1" width="18.6640625" style="39" customWidth="1"/>
    <col min="2" max="3" width="17.33203125" style="39" customWidth="1"/>
    <col min="4" max="16384" width="10.83203125" style="39"/>
  </cols>
  <sheetData>
    <row r="1" spans="1:5" x14ac:dyDescent="0.2">
      <c r="A1" s="38" t="s">
        <v>24</v>
      </c>
      <c r="B1" s="38" t="s">
        <v>30</v>
      </c>
      <c r="C1" s="38" t="s">
        <v>26</v>
      </c>
      <c r="E1" s="63" t="s">
        <v>73</v>
      </c>
    </row>
    <row r="2" spans="1:5" x14ac:dyDescent="0.2">
      <c r="A2" s="40" t="s">
        <v>103</v>
      </c>
      <c r="B2" s="40" t="s">
        <v>31</v>
      </c>
      <c r="C2" s="40" t="s">
        <v>0</v>
      </c>
      <c r="D2" t="s">
        <v>72</v>
      </c>
    </row>
    <row r="3" spans="1:5" x14ac:dyDescent="0.2">
      <c r="A3" s="40" t="s">
        <v>0</v>
      </c>
      <c r="B3" s="40" t="s">
        <v>34</v>
      </c>
      <c r="C3" s="40" t="s">
        <v>95</v>
      </c>
      <c r="D3" t="s">
        <v>72</v>
      </c>
    </row>
    <row r="4" spans="1:5" x14ac:dyDescent="0.2">
      <c r="A4" s="40" t="s">
        <v>0</v>
      </c>
      <c r="B4" s="40" t="s">
        <v>17</v>
      </c>
      <c r="C4" s="40" t="s">
        <v>0</v>
      </c>
      <c r="D4" t="s">
        <v>72</v>
      </c>
    </row>
    <row r="5" spans="1:5" x14ac:dyDescent="0.2">
      <c r="A5" s="40" t="s">
        <v>0</v>
      </c>
      <c r="B5" s="40" t="s">
        <v>22</v>
      </c>
      <c r="C5" s="40" t="s">
        <v>0</v>
      </c>
      <c r="D5" t="s">
        <v>72</v>
      </c>
    </row>
    <row r="6" spans="1:5" x14ac:dyDescent="0.2">
      <c r="A6" s="40" t="s">
        <v>0</v>
      </c>
      <c r="B6" s="40" t="s">
        <v>34</v>
      </c>
      <c r="C6" s="40" t="s">
        <v>96</v>
      </c>
      <c r="D6" t="s">
        <v>72</v>
      </c>
    </row>
    <row r="7" spans="1:5" x14ac:dyDescent="0.2">
      <c r="A7" s="40" t="s">
        <v>0</v>
      </c>
      <c r="B7" s="40" t="s">
        <v>18</v>
      </c>
      <c r="C7" s="40" t="s">
        <v>1</v>
      </c>
      <c r="D7" t="s">
        <v>72</v>
      </c>
    </row>
    <row r="8" spans="1:5" x14ac:dyDescent="0.2">
      <c r="A8" s="40"/>
      <c r="B8" s="40"/>
      <c r="C8" s="40"/>
      <c r="D8"/>
    </row>
    <row r="9" spans="1:5" x14ac:dyDescent="0.2">
      <c r="A9" s="40"/>
      <c r="B9" s="40"/>
      <c r="C9" s="40"/>
      <c r="D9"/>
    </row>
    <row r="10" spans="1:5" x14ac:dyDescent="0.2">
      <c r="A10" s="40"/>
      <c r="B10" s="40"/>
      <c r="C10" s="40"/>
      <c r="D10"/>
    </row>
    <row r="11" spans="1:5" x14ac:dyDescent="0.2">
      <c r="D11"/>
    </row>
    <row r="12" spans="1:5" x14ac:dyDescent="0.2">
      <c r="D12"/>
    </row>
    <row r="13" spans="1:5" x14ac:dyDescent="0.2">
      <c r="D13"/>
    </row>
    <row r="14" spans="1:5" x14ac:dyDescent="0.2">
      <c r="D14"/>
    </row>
    <row r="15" spans="1:5" x14ac:dyDescent="0.2">
      <c r="D15"/>
    </row>
    <row r="16" spans="1:5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  <row r="28" spans="4:4" x14ac:dyDescent="0.2">
      <c r="D28"/>
    </row>
    <row r="29" spans="4:4" x14ac:dyDescent="0.2">
      <c r="D29"/>
    </row>
    <row r="30" spans="4:4" x14ac:dyDescent="0.2">
      <c r="D3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Invalid" error="Operation is not listed" xr:uid="{B9CE905B-297A-1E48-BD06-A3797767182B}">
          <x14:formula1>
            <xm:f>Helper!$J$27:$J$38</xm:f>
          </x14:formula1>
          <xm:sqref>B2:B10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007A-39F4-514B-BA51-55EF9730C78F}">
  <dimension ref="B2:AV97"/>
  <sheetViews>
    <sheetView showGridLines="0" topLeftCell="L23" zoomScale="131" zoomScaleNormal="144" workbookViewId="0">
      <selection activeCell="AJ89" sqref="AJ89"/>
    </sheetView>
  </sheetViews>
  <sheetFormatPr baseColWidth="10" defaultColWidth="3.33203125" defaultRowHeight="17" customHeight="1" x14ac:dyDescent="0.2"/>
  <cols>
    <col min="1" max="1" width="3.33203125" style="66"/>
    <col min="2" max="27" width="3.33203125" style="66" customWidth="1"/>
    <col min="28" max="28" width="3.33203125" style="66"/>
    <col min="29" max="58" width="3.33203125" style="66" customWidth="1"/>
    <col min="59" max="16384" width="3.33203125" style="66"/>
  </cols>
  <sheetData>
    <row r="2" spans="29:48" ht="17" customHeight="1" x14ac:dyDescent="0.2">
      <c r="AC2" s="68" t="s">
        <v>90</v>
      </c>
    </row>
    <row r="3" spans="29:48" ht="17" customHeight="1" x14ac:dyDescent="0.2">
      <c r="AD3" s="67" t="s">
        <v>86</v>
      </c>
      <c r="AI3" s="67" t="s">
        <v>87</v>
      </c>
      <c r="AN3" s="67" t="s">
        <v>88</v>
      </c>
      <c r="AS3" s="67" t="s">
        <v>89</v>
      </c>
    </row>
    <row r="4" spans="29:48" ht="17" customHeight="1" x14ac:dyDescent="0.2">
      <c r="AC4" s="66" t="s">
        <v>84</v>
      </c>
      <c r="AD4" s="67">
        <v>8</v>
      </c>
      <c r="AH4" s="66" t="s">
        <v>84</v>
      </c>
      <c r="AI4" s="67">
        <v>7</v>
      </c>
      <c r="AM4" s="66" t="s">
        <v>84</v>
      </c>
      <c r="AN4" s="67">
        <v>9</v>
      </c>
      <c r="AR4" s="66" t="s">
        <v>84</v>
      </c>
      <c r="AS4" s="67">
        <v>9</v>
      </c>
    </row>
    <row r="5" spans="29:48" ht="17" customHeight="1" thickBot="1" x14ac:dyDescent="0.25">
      <c r="AC5" s="75" t="s">
        <v>85</v>
      </c>
      <c r="AD5" s="67">
        <v>7</v>
      </c>
      <c r="AH5" s="75" t="s">
        <v>85</v>
      </c>
      <c r="AI5" s="67">
        <v>2</v>
      </c>
      <c r="AM5" s="75" t="s">
        <v>85</v>
      </c>
      <c r="AN5" s="67">
        <v>0</v>
      </c>
      <c r="AR5" s="75" t="s">
        <v>85</v>
      </c>
      <c r="AS5" s="67">
        <v>3</v>
      </c>
    </row>
    <row r="6" spans="29:48" ht="17" customHeight="1" x14ac:dyDescent="0.2">
      <c r="AC6" s="79" cm="1">
        <f t="array" aca="1" ref="AC6:AG10" ca="1">OFFSET(tinyDigits!C4,7*AD4,7*AD5, 5, 5)</f>
        <v>0.39234062054446517</v>
      </c>
      <c r="AD6" s="77">
        <f ca="1"/>
        <v>0.37057343048749869</v>
      </c>
      <c r="AE6" s="77">
        <f ca="1"/>
        <v>0.16479800860068505</v>
      </c>
      <c r="AF6" s="77">
        <f ca="1"/>
        <v>0.35891603721293253</v>
      </c>
      <c r="AG6" s="77">
        <f ca="1"/>
        <v>0.5856674842483911</v>
      </c>
      <c r="AH6" s="79" cm="1">
        <f t="array" aca="1" ref="AH6:AL10" ca="1">OFFSET(tinyDigits!C4,7*AI4,7*AI5, 5, 5)</f>
        <v>0.48322132019641195</v>
      </c>
      <c r="AI6" s="77">
        <f ca="1"/>
        <v>1</v>
      </c>
      <c r="AJ6" s="77">
        <f ca="1"/>
        <v>1</v>
      </c>
      <c r="AK6" s="77">
        <f ca="1"/>
        <v>1</v>
      </c>
      <c r="AL6" s="77">
        <f ca="1"/>
        <v>0.470511175014594</v>
      </c>
      <c r="AM6" s="79" cm="1">
        <f t="array" aca="1" ref="AM6:AQ10" ca="1">OFFSET(tinyDigits!C4,7*AN4,7*AN5, 5, 5)</f>
        <v>0.18342546386617398</v>
      </c>
      <c r="AN6" s="77">
        <f ca="1"/>
        <v>1</v>
      </c>
      <c r="AO6" s="77">
        <f ca="1"/>
        <v>1</v>
      </c>
      <c r="AP6" s="77">
        <f ca="1"/>
        <v>1</v>
      </c>
      <c r="AQ6" s="77">
        <f ca="1"/>
        <v>0.19947368371422125</v>
      </c>
      <c r="AR6" s="79" cm="1">
        <f t="array" aca="1" ref="AR6:AV10" ca="1">OFFSET(tinyDigits!C4,7*AS4,7*AS5, 5, 5)</f>
        <v>0</v>
      </c>
      <c r="AS6" s="77">
        <f ca="1"/>
        <v>0</v>
      </c>
      <c r="AT6" s="77">
        <f ca="1"/>
        <v>0</v>
      </c>
      <c r="AU6" s="77">
        <f ca="1"/>
        <v>0</v>
      </c>
      <c r="AV6" s="82">
        <f ca="1"/>
        <v>0</v>
      </c>
    </row>
    <row r="7" spans="29:48" ht="17" customHeight="1" x14ac:dyDescent="0.2">
      <c r="AC7" s="80">
        <f ca="1"/>
        <v>1</v>
      </c>
      <c r="AD7" s="66">
        <f ca="1"/>
        <v>1</v>
      </c>
      <c r="AE7" s="66">
        <f ca="1"/>
        <v>1</v>
      </c>
      <c r="AF7" s="66">
        <f ca="1"/>
        <v>1</v>
      </c>
      <c r="AG7" s="66">
        <f ca="1"/>
        <v>1</v>
      </c>
      <c r="AH7" s="80">
        <f ca="1"/>
        <v>0.24257675112984123</v>
      </c>
      <c r="AI7" s="66">
        <f ca="1"/>
        <v>1</v>
      </c>
      <c r="AJ7" s="66">
        <f ca="1"/>
        <v>0.63927824530118682</v>
      </c>
      <c r="AK7" s="66">
        <f ca="1"/>
        <v>0.35439587812026241</v>
      </c>
      <c r="AL7" s="66">
        <f ca="1"/>
        <v>0.57333694491603804</v>
      </c>
      <c r="AM7" s="80">
        <f ca="1"/>
        <v>0.26958536102128483</v>
      </c>
      <c r="AN7" s="66">
        <f ca="1"/>
        <v>1</v>
      </c>
      <c r="AO7" s="66">
        <f ca="1"/>
        <v>0.4874866902185151</v>
      </c>
      <c r="AP7" s="66">
        <f ca="1"/>
        <v>1</v>
      </c>
      <c r="AQ7" s="66">
        <f ca="1"/>
        <v>0.51874224090715226</v>
      </c>
      <c r="AR7" s="80">
        <f ca="1"/>
        <v>0.18342546386617398</v>
      </c>
      <c r="AS7" s="66">
        <f ca="1"/>
        <v>1</v>
      </c>
      <c r="AT7" s="66">
        <f ca="1"/>
        <v>1</v>
      </c>
      <c r="AU7" s="66">
        <f ca="1"/>
        <v>1</v>
      </c>
      <c r="AV7" s="83">
        <f ca="1"/>
        <v>0.19947368371422125</v>
      </c>
    </row>
    <row r="8" spans="29:48" ht="17" customHeight="1" x14ac:dyDescent="0.2">
      <c r="AC8" s="80">
        <f ca="1"/>
        <v>1</v>
      </c>
      <c r="AD8" s="66">
        <f ca="1"/>
        <v>0.34139235886810937</v>
      </c>
      <c r="AE8" s="66">
        <f ca="1"/>
        <v>1</v>
      </c>
      <c r="AF8" s="66">
        <f ca="1"/>
        <v>0.64616898336424389</v>
      </c>
      <c r="AG8" s="66">
        <f ca="1"/>
        <v>1</v>
      </c>
      <c r="AH8" s="80">
        <f ca="1"/>
        <v>0.62005283827156232</v>
      </c>
      <c r="AI8" s="66">
        <f ca="1"/>
        <v>1</v>
      </c>
      <c r="AJ8" s="66">
        <f ca="1"/>
        <v>0.61091978164840366</v>
      </c>
      <c r="AK8" s="66">
        <f ca="1"/>
        <v>0.62467269752549093</v>
      </c>
      <c r="AL8" s="66">
        <f ca="1"/>
        <v>0.75499935792337303</v>
      </c>
      <c r="AM8" s="80">
        <f ca="1"/>
        <v>0.34709982929130223</v>
      </c>
      <c r="AN8" s="66">
        <f ca="1"/>
        <v>1</v>
      </c>
      <c r="AO8" s="66">
        <f ca="1"/>
        <v>1</v>
      </c>
      <c r="AP8" s="66">
        <f ca="1"/>
        <v>1</v>
      </c>
      <c r="AQ8" s="66">
        <f ca="1"/>
        <v>0.18417476276971634</v>
      </c>
      <c r="AR8" s="80">
        <f ca="1"/>
        <v>0.26958536102128483</v>
      </c>
      <c r="AS8" s="66">
        <f ca="1"/>
        <v>1</v>
      </c>
      <c r="AT8" s="66">
        <f ca="1"/>
        <v>0.4874866902185151</v>
      </c>
      <c r="AU8" s="66">
        <f ca="1"/>
        <v>1</v>
      </c>
      <c r="AV8" s="83">
        <f ca="1"/>
        <v>0.51874224090715226</v>
      </c>
    </row>
    <row r="9" spans="29:48" ht="17" customHeight="1" x14ac:dyDescent="0.2">
      <c r="AC9" s="80">
        <f ca="1"/>
        <v>1</v>
      </c>
      <c r="AD9" s="66">
        <f ca="1"/>
        <v>1</v>
      </c>
      <c r="AE9" s="66">
        <f ca="1"/>
        <v>1</v>
      </c>
      <c r="AF9" s="66">
        <f ca="1"/>
        <v>1</v>
      </c>
      <c r="AG9" s="66">
        <f ca="1"/>
        <v>1</v>
      </c>
      <c r="AH9" s="80">
        <f ca="1"/>
        <v>0.22350221211105137</v>
      </c>
      <c r="AI9" s="66">
        <f ca="1"/>
        <v>1</v>
      </c>
      <c r="AJ9" s="66">
        <f ca="1"/>
        <v>0.22312415919372053</v>
      </c>
      <c r="AK9" s="66">
        <f ca="1"/>
        <v>0.32599199535962908</v>
      </c>
      <c r="AL9" s="66">
        <f ca="1"/>
        <v>0.65436952533524595</v>
      </c>
      <c r="AM9" s="80">
        <f ca="1"/>
        <v>0.21732436038448644</v>
      </c>
      <c r="AN9" s="66">
        <f ca="1"/>
        <v>0.57542727657390846</v>
      </c>
      <c r="AO9" s="66">
        <f ca="1"/>
        <v>0.42233687282846499</v>
      </c>
      <c r="AP9" s="66">
        <f ca="1"/>
        <v>1</v>
      </c>
      <c r="AQ9" s="66">
        <f ca="1"/>
        <v>0.22639110829676889</v>
      </c>
      <c r="AR9" s="80">
        <f ca="1"/>
        <v>0.34709982929130223</v>
      </c>
      <c r="AS9" s="66">
        <f ca="1"/>
        <v>1</v>
      </c>
      <c r="AT9" s="66">
        <f ca="1"/>
        <v>1</v>
      </c>
      <c r="AU9" s="66">
        <f ca="1"/>
        <v>1</v>
      </c>
      <c r="AV9" s="83">
        <f ca="1"/>
        <v>0.18417476276971634</v>
      </c>
    </row>
    <row r="10" spans="29:48" ht="17" customHeight="1" thickBot="1" x14ac:dyDescent="0.25">
      <c r="AC10" s="81">
        <f ca="1"/>
        <v>0.51859300964167188</v>
      </c>
      <c r="AD10" s="78">
        <f ca="1"/>
        <v>0.62948157681499672</v>
      </c>
      <c r="AE10" s="78">
        <f ca="1"/>
        <v>0.15381588292190895</v>
      </c>
      <c r="AF10" s="78">
        <f ca="1"/>
        <v>0.48459652030447498</v>
      </c>
      <c r="AG10" s="78">
        <f ca="1"/>
        <v>0.47057062491834412</v>
      </c>
      <c r="AH10" s="81">
        <f ca="1"/>
        <v>0.24099404484760434</v>
      </c>
      <c r="AI10" s="78">
        <f ca="1"/>
        <v>1</v>
      </c>
      <c r="AJ10" s="78">
        <f ca="1"/>
        <v>0.51041624149965437</v>
      </c>
      <c r="AK10" s="78">
        <f ca="1"/>
        <v>0.5774628583375494</v>
      </c>
      <c r="AL10" s="78">
        <f ca="1"/>
        <v>0.32833756171622042</v>
      </c>
      <c r="AM10" s="81">
        <f ca="1"/>
        <v>0.19639197098300198</v>
      </c>
      <c r="AN10" s="78">
        <f ca="1"/>
        <v>1</v>
      </c>
      <c r="AO10" s="78">
        <f ca="1"/>
        <v>1</v>
      </c>
      <c r="AP10" s="78">
        <f ca="1"/>
        <v>1</v>
      </c>
      <c r="AQ10" s="78">
        <f ca="1"/>
        <v>0.53012316518173996</v>
      </c>
      <c r="AR10" s="81">
        <f ca="1"/>
        <v>0.21732436038448644</v>
      </c>
      <c r="AS10" s="78">
        <f ca="1"/>
        <v>0.57542727657390846</v>
      </c>
      <c r="AT10" s="78">
        <f ca="1"/>
        <v>0.42233687282846499</v>
      </c>
      <c r="AU10" s="78">
        <f ca="1"/>
        <v>1</v>
      </c>
      <c r="AV10" s="84">
        <f ca="1"/>
        <v>0.22639110829676889</v>
      </c>
    </row>
    <row r="12" spans="29:48" ht="17" customHeight="1" x14ac:dyDescent="0.2">
      <c r="AC12" s="68" t="s">
        <v>82</v>
      </c>
    </row>
    <row r="13" spans="29:48" ht="17" customHeight="1" x14ac:dyDescent="0.2">
      <c r="AC13" s="69" cm="1">
        <f t="array" aca="1" ref="AC13:AF38" ca="1">_xlfn.VSTACK(_xlfn.WRAPCOLS(_xlfn.TOCOL(Blueprint!AC6:AV10,1,TRUE),5*5), _xlfn.SEQUENCE(1,4)*0+1)</f>
        <v>0.39234062054446517</v>
      </c>
      <c r="AD13" s="69">
        <f ca="1"/>
        <v>0.48322132019641195</v>
      </c>
      <c r="AE13" s="69">
        <f ca="1"/>
        <v>0.18342546386617398</v>
      </c>
      <c r="AF13" s="69">
        <f ca="1"/>
        <v>0</v>
      </c>
    </row>
    <row r="14" spans="29:48" ht="17" customHeight="1" x14ac:dyDescent="0.2">
      <c r="AC14" s="70">
        <f ca="1"/>
        <v>1</v>
      </c>
      <c r="AD14" s="70">
        <f ca="1"/>
        <v>0.24257675112984123</v>
      </c>
      <c r="AE14" s="70">
        <f ca="1"/>
        <v>0.26958536102128483</v>
      </c>
      <c r="AF14" s="70">
        <f ca="1"/>
        <v>0.18342546386617398</v>
      </c>
    </row>
    <row r="15" spans="29:48" ht="17" customHeight="1" x14ac:dyDescent="0.2">
      <c r="AC15" s="70">
        <f ca="1"/>
        <v>1</v>
      </c>
      <c r="AD15" s="70">
        <f ca="1"/>
        <v>0.62005283827156232</v>
      </c>
      <c r="AE15" s="70">
        <f ca="1"/>
        <v>0.34709982929130223</v>
      </c>
      <c r="AF15" s="70">
        <f ca="1"/>
        <v>0.26958536102128483</v>
      </c>
    </row>
    <row r="16" spans="29:48" ht="17" customHeight="1" x14ac:dyDescent="0.2">
      <c r="AC16" s="70">
        <f ca="1"/>
        <v>1</v>
      </c>
      <c r="AD16" s="70">
        <f ca="1"/>
        <v>0.22350221211105137</v>
      </c>
      <c r="AE16" s="70">
        <f ca="1"/>
        <v>0.21732436038448644</v>
      </c>
      <c r="AF16" s="70">
        <f ca="1"/>
        <v>0.34709982929130223</v>
      </c>
    </row>
    <row r="17" spans="29:32" ht="17" customHeight="1" x14ac:dyDescent="0.2">
      <c r="AC17" s="70">
        <f ca="1"/>
        <v>0.51859300964167188</v>
      </c>
      <c r="AD17" s="70">
        <f ca="1"/>
        <v>0.24099404484760434</v>
      </c>
      <c r="AE17" s="70">
        <f ca="1"/>
        <v>0.19639197098300198</v>
      </c>
      <c r="AF17" s="70">
        <f ca="1"/>
        <v>0.21732436038448644</v>
      </c>
    </row>
    <row r="18" spans="29:32" ht="17" customHeight="1" x14ac:dyDescent="0.2">
      <c r="AC18" s="70">
        <f ca="1"/>
        <v>0.37057343048749869</v>
      </c>
      <c r="AD18" s="70">
        <f ca="1"/>
        <v>1</v>
      </c>
      <c r="AE18" s="70">
        <f ca="1"/>
        <v>1</v>
      </c>
      <c r="AF18" s="70">
        <f ca="1"/>
        <v>0</v>
      </c>
    </row>
    <row r="19" spans="29:32" ht="17" customHeight="1" x14ac:dyDescent="0.2">
      <c r="AC19" s="70">
        <f ca="1"/>
        <v>1</v>
      </c>
      <c r="AD19" s="70">
        <f ca="1"/>
        <v>1</v>
      </c>
      <c r="AE19" s="70">
        <f ca="1"/>
        <v>1</v>
      </c>
      <c r="AF19" s="70">
        <f ca="1"/>
        <v>1</v>
      </c>
    </row>
    <row r="20" spans="29:32" ht="17" customHeight="1" x14ac:dyDescent="0.2">
      <c r="AC20" s="70">
        <f ca="1"/>
        <v>0.34139235886810937</v>
      </c>
      <c r="AD20" s="70">
        <f ca="1"/>
        <v>1</v>
      </c>
      <c r="AE20" s="70">
        <f ca="1"/>
        <v>1</v>
      </c>
      <c r="AF20" s="70">
        <f ca="1"/>
        <v>1</v>
      </c>
    </row>
    <row r="21" spans="29:32" ht="17" customHeight="1" x14ac:dyDescent="0.2">
      <c r="AC21" s="70">
        <f ca="1"/>
        <v>1</v>
      </c>
      <c r="AD21" s="70">
        <f ca="1"/>
        <v>1</v>
      </c>
      <c r="AE21" s="70">
        <f ca="1"/>
        <v>0.57542727657390846</v>
      </c>
      <c r="AF21" s="70">
        <f ca="1"/>
        <v>1</v>
      </c>
    </row>
    <row r="22" spans="29:32" ht="17" customHeight="1" x14ac:dyDescent="0.2">
      <c r="AC22" s="70">
        <f ca="1"/>
        <v>0.62948157681499672</v>
      </c>
      <c r="AD22" s="70">
        <f ca="1"/>
        <v>1</v>
      </c>
      <c r="AE22" s="70">
        <f ca="1"/>
        <v>1</v>
      </c>
      <c r="AF22" s="70">
        <f ca="1"/>
        <v>0.57542727657390846</v>
      </c>
    </row>
    <row r="23" spans="29:32" ht="17" customHeight="1" x14ac:dyDescent="0.2">
      <c r="AC23" s="70">
        <f ca="1"/>
        <v>0.16479800860068505</v>
      </c>
      <c r="AD23" s="70">
        <f ca="1"/>
        <v>1</v>
      </c>
      <c r="AE23" s="70">
        <f ca="1"/>
        <v>1</v>
      </c>
      <c r="AF23" s="70">
        <f ca="1"/>
        <v>0</v>
      </c>
    </row>
    <row r="24" spans="29:32" ht="17" customHeight="1" x14ac:dyDescent="0.2">
      <c r="AC24" s="70">
        <f ca="1"/>
        <v>1</v>
      </c>
      <c r="AD24" s="70">
        <f ca="1"/>
        <v>0.63927824530118682</v>
      </c>
      <c r="AE24" s="70">
        <f ca="1"/>
        <v>0.4874866902185151</v>
      </c>
      <c r="AF24" s="70">
        <f ca="1"/>
        <v>1</v>
      </c>
    </row>
    <row r="25" spans="29:32" ht="17" customHeight="1" x14ac:dyDescent="0.2">
      <c r="AC25" s="70">
        <f ca="1"/>
        <v>1</v>
      </c>
      <c r="AD25" s="70">
        <f ca="1"/>
        <v>0.61091978164840366</v>
      </c>
      <c r="AE25" s="70">
        <f ca="1"/>
        <v>1</v>
      </c>
      <c r="AF25" s="70">
        <f ca="1"/>
        <v>0.4874866902185151</v>
      </c>
    </row>
    <row r="26" spans="29:32" ht="17" customHeight="1" x14ac:dyDescent="0.2">
      <c r="AC26" s="70">
        <f ca="1"/>
        <v>1</v>
      </c>
      <c r="AD26" s="70">
        <f ca="1"/>
        <v>0.22312415919372053</v>
      </c>
      <c r="AE26" s="70">
        <f ca="1"/>
        <v>0.42233687282846499</v>
      </c>
      <c r="AF26" s="70">
        <f ca="1"/>
        <v>1</v>
      </c>
    </row>
    <row r="27" spans="29:32" ht="17" customHeight="1" x14ac:dyDescent="0.2">
      <c r="AC27" s="70">
        <f ca="1"/>
        <v>0.15381588292190895</v>
      </c>
      <c r="AD27" s="70">
        <f ca="1"/>
        <v>0.51041624149965437</v>
      </c>
      <c r="AE27" s="70">
        <f ca="1"/>
        <v>1</v>
      </c>
      <c r="AF27" s="70">
        <f ca="1"/>
        <v>0.42233687282846499</v>
      </c>
    </row>
    <row r="28" spans="29:32" ht="17" customHeight="1" x14ac:dyDescent="0.2">
      <c r="AC28" s="70">
        <f ca="1"/>
        <v>0.35891603721293253</v>
      </c>
      <c r="AD28" s="70">
        <f ca="1"/>
        <v>1</v>
      </c>
      <c r="AE28" s="70">
        <f ca="1"/>
        <v>1</v>
      </c>
      <c r="AF28" s="70">
        <f ca="1"/>
        <v>0</v>
      </c>
    </row>
    <row r="29" spans="29:32" ht="17" customHeight="1" x14ac:dyDescent="0.2">
      <c r="AC29" s="70">
        <f ca="1"/>
        <v>1</v>
      </c>
      <c r="AD29" s="70">
        <f ca="1"/>
        <v>0.35439587812026241</v>
      </c>
      <c r="AE29" s="70">
        <f ca="1"/>
        <v>1</v>
      </c>
      <c r="AF29" s="70">
        <f ca="1"/>
        <v>1</v>
      </c>
    </row>
    <row r="30" spans="29:32" ht="17" customHeight="1" x14ac:dyDescent="0.2">
      <c r="AC30" s="70">
        <f ca="1"/>
        <v>0.64616898336424389</v>
      </c>
      <c r="AD30" s="70">
        <f ca="1"/>
        <v>0.62467269752549093</v>
      </c>
      <c r="AE30" s="70">
        <f ca="1"/>
        <v>1</v>
      </c>
      <c r="AF30" s="70">
        <f ca="1"/>
        <v>1</v>
      </c>
    </row>
    <row r="31" spans="29:32" ht="17" customHeight="1" x14ac:dyDescent="0.2">
      <c r="AC31" s="70">
        <f ca="1"/>
        <v>1</v>
      </c>
      <c r="AD31" s="70">
        <f ca="1"/>
        <v>0.32599199535962908</v>
      </c>
      <c r="AE31" s="70">
        <f ca="1"/>
        <v>1</v>
      </c>
      <c r="AF31" s="70">
        <f ca="1"/>
        <v>1</v>
      </c>
    </row>
    <row r="32" spans="29:32" ht="17" customHeight="1" x14ac:dyDescent="0.2">
      <c r="AC32" s="70">
        <f ca="1"/>
        <v>0.48459652030447498</v>
      </c>
      <c r="AD32" s="70">
        <f ca="1"/>
        <v>0.5774628583375494</v>
      </c>
      <c r="AE32" s="70">
        <f ca="1"/>
        <v>1</v>
      </c>
      <c r="AF32" s="70">
        <f ca="1"/>
        <v>1</v>
      </c>
    </row>
    <row r="33" spans="2:32" ht="17" customHeight="1" x14ac:dyDescent="0.2">
      <c r="AC33" s="70">
        <f ca="1"/>
        <v>0.5856674842483911</v>
      </c>
      <c r="AD33" s="70">
        <f ca="1"/>
        <v>0.470511175014594</v>
      </c>
      <c r="AE33" s="70">
        <f ca="1"/>
        <v>0.19947368371422125</v>
      </c>
      <c r="AF33" s="70">
        <f ca="1"/>
        <v>0</v>
      </c>
    </row>
    <row r="34" spans="2:32" ht="17" customHeight="1" x14ac:dyDescent="0.2">
      <c r="AC34" s="70">
        <f ca="1"/>
        <v>1</v>
      </c>
      <c r="AD34" s="70">
        <f ca="1"/>
        <v>0.57333694491603804</v>
      </c>
      <c r="AE34" s="70">
        <f ca="1"/>
        <v>0.51874224090715226</v>
      </c>
      <c r="AF34" s="70">
        <f ca="1"/>
        <v>0.19947368371422125</v>
      </c>
    </row>
    <row r="35" spans="2:32" ht="17" customHeight="1" x14ac:dyDescent="0.2">
      <c r="AC35" s="70">
        <f ca="1"/>
        <v>1</v>
      </c>
      <c r="AD35" s="70">
        <f ca="1"/>
        <v>0.75499935792337303</v>
      </c>
      <c r="AE35" s="70">
        <f ca="1"/>
        <v>0.18417476276971634</v>
      </c>
      <c r="AF35" s="70">
        <f ca="1"/>
        <v>0.51874224090715226</v>
      </c>
    </row>
    <row r="36" spans="2:32" ht="17" customHeight="1" x14ac:dyDescent="0.2">
      <c r="AC36" s="70">
        <f ca="1"/>
        <v>1</v>
      </c>
      <c r="AD36" s="70">
        <f ca="1"/>
        <v>0.65436952533524595</v>
      </c>
      <c r="AE36" s="70">
        <f ca="1"/>
        <v>0.22639110829676889</v>
      </c>
      <c r="AF36" s="70">
        <f ca="1"/>
        <v>0.18417476276971634</v>
      </c>
    </row>
    <row r="37" spans="2:32" ht="17" customHeight="1" x14ac:dyDescent="0.2">
      <c r="AC37" s="71">
        <f ca="1"/>
        <v>0.47057062491834412</v>
      </c>
      <c r="AD37" s="71">
        <f ca="1"/>
        <v>0.32833756171622042</v>
      </c>
      <c r="AE37" s="71">
        <f ca="1"/>
        <v>0.53012316518173996</v>
      </c>
      <c r="AF37" s="71">
        <f ca="1"/>
        <v>0.22639110829676889</v>
      </c>
    </row>
    <row r="38" spans="2:32" ht="17" customHeight="1" x14ac:dyDescent="0.2">
      <c r="AC38" s="66">
        <f ca="1"/>
        <v>1</v>
      </c>
      <c r="AD38" s="66">
        <f ca="1"/>
        <v>1</v>
      </c>
      <c r="AE38" s="66">
        <f ca="1"/>
        <v>1</v>
      </c>
      <c r="AF38" s="66">
        <f ca="1"/>
        <v>1</v>
      </c>
    </row>
    <row r="40" spans="2:32" ht="17" customHeight="1" x14ac:dyDescent="0.2">
      <c r="B40" s="68" t="s">
        <v>83</v>
      </c>
      <c r="AC40" s="68" t="s">
        <v>76</v>
      </c>
    </row>
    <row r="41" spans="2:32" ht="17" customHeight="1" x14ac:dyDescent="0.2">
      <c r="B41" s="72" cm="1">
        <f t="array" aca="1" ref="B41:AA43" ca="1">_xlfn.RANDARRAY(3, 26, -1, 1)</f>
        <v>-0.99139639283005998</v>
      </c>
      <c r="C41" s="73">
        <f ca="1"/>
        <v>0.44636697924028845</v>
      </c>
      <c r="D41" s="73">
        <f ca="1"/>
        <v>-0.7453446741740215</v>
      </c>
      <c r="E41" s="73">
        <f ca="1"/>
        <v>-0.1640205469297118</v>
      </c>
      <c r="F41" s="73">
        <f ca="1"/>
        <v>0.23467102018311503</v>
      </c>
      <c r="G41" s="73">
        <f ca="1"/>
        <v>-0.62429674976923111</v>
      </c>
      <c r="H41" s="73">
        <f ca="1"/>
        <v>-0.53374450827200137</v>
      </c>
      <c r="I41" s="73">
        <f ca="1"/>
        <v>-0.97048423693666264</v>
      </c>
      <c r="J41" s="73">
        <f ca="1"/>
        <v>-0.79768562196806236</v>
      </c>
      <c r="K41" s="73">
        <f ca="1"/>
        <v>-0.52197674774907821</v>
      </c>
      <c r="L41" s="73">
        <f ca="1"/>
        <v>0.50535141904233449</v>
      </c>
      <c r="M41" s="73">
        <f ca="1"/>
        <v>-0.56110511562064658</v>
      </c>
      <c r="N41" s="73">
        <f ca="1"/>
        <v>0.3896642076305632</v>
      </c>
      <c r="O41" s="73">
        <f ca="1"/>
        <v>-0.83185770952983695</v>
      </c>
      <c r="P41" s="73">
        <f ca="1"/>
        <v>0.17690565085090171</v>
      </c>
      <c r="Q41" s="73">
        <f ca="1"/>
        <v>-0.5089873296462808</v>
      </c>
      <c r="R41" s="73">
        <f ca="1"/>
        <v>0.93081095028755012</v>
      </c>
      <c r="S41" s="73">
        <f ca="1"/>
        <v>4.0164816239302015E-2</v>
      </c>
      <c r="T41" s="73">
        <f ca="1"/>
        <v>-4.4268576948138572E-2</v>
      </c>
      <c r="U41" s="73">
        <f ca="1"/>
        <v>-0.65644602196438484</v>
      </c>
      <c r="V41" s="73">
        <f ca="1"/>
        <v>0.76003531808780944</v>
      </c>
      <c r="W41" s="73">
        <f ca="1"/>
        <v>0.86233038936002204</v>
      </c>
      <c r="X41" s="73">
        <f ca="1"/>
        <v>-0.74066545788153104</v>
      </c>
      <c r="Y41" s="73">
        <f ca="1"/>
        <v>0.61788491689272651</v>
      </c>
      <c r="Z41" s="73">
        <f ca="1"/>
        <v>-0.30216947443693076</v>
      </c>
      <c r="AA41" s="74">
        <f ca="1"/>
        <v>-0.43965693675981177</v>
      </c>
      <c r="AC41" s="69" cm="1">
        <f t="array" aca="1" ref="AC41:AF43" ca="1">MMULT(Blueprint!B41:AA43,Blueprint!AC13:AF38)</f>
        <v>-2.8312106815737539</v>
      </c>
      <c r="AD41" s="69">
        <f ca="1"/>
        <v>-4.3611032693578107</v>
      </c>
      <c r="AE41" s="69">
        <f ca="1"/>
        <v>-3.2083911226243487</v>
      </c>
      <c r="AF41" s="69">
        <f ca="1"/>
        <v>-4.1917653572158056</v>
      </c>
    </row>
    <row r="42" spans="2:32" ht="17" customHeight="1" x14ac:dyDescent="0.2">
      <c r="B42" s="72">
        <f ca="1"/>
        <v>0.21271461456675755</v>
      </c>
      <c r="C42" s="73">
        <f ca="1"/>
        <v>0.85606839901480347</v>
      </c>
      <c r="D42" s="73">
        <f ca="1"/>
        <v>-4.5744347945847696E-2</v>
      </c>
      <c r="E42" s="73">
        <f ca="1"/>
        <v>-6.410561450881147E-2</v>
      </c>
      <c r="F42" s="73">
        <f ca="1"/>
        <v>-0.49130126356671422</v>
      </c>
      <c r="G42" s="73">
        <f ca="1"/>
        <v>-0.32671522836170852</v>
      </c>
      <c r="H42" s="73">
        <f ca="1"/>
        <v>0.92608065795807448</v>
      </c>
      <c r="I42" s="73">
        <f ca="1"/>
        <v>5.2855389999616254E-2</v>
      </c>
      <c r="J42" s="73">
        <f ca="1"/>
        <v>-0.55140374422971816</v>
      </c>
      <c r="K42" s="73">
        <f ca="1"/>
        <v>-1.1834741086939937E-2</v>
      </c>
      <c r="L42" s="73">
        <f ca="1"/>
        <v>-0.55597685956847553</v>
      </c>
      <c r="M42" s="73">
        <f ca="1"/>
        <v>-0.51476327121720833</v>
      </c>
      <c r="N42" s="73">
        <f ca="1"/>
        <v>-4.8396006568470096E-2</v>
      </c>
      <c r="O42" s="73">
        <f ca="1"/>
        <v>0.72276509114278231</v>
      </c>
      <c r="P42" s="73">
        <f ca="1"/>
        <v>0.69636541463172263</v>
      </c>
      <c r="Q42" s="73">
        <f ca="1"/>
        <v>-0.76349775369642181</v>
      </c>
      <c r="R42" s="73">
        <f ca="1"/>
        <v>-0.4443072997703934</v>
      </c>
      <c r="S42" s="73">
        <f ca="1"/>
        <v>0.87161673153455332</v>
      </c>
      <c r="T42" s="73">
        <f ca="1"/>
        <v>-0.82627288145735855</v>
      </c>
      <c r="U42" s="73">
        <f ca="1"/>
        <v>5.7793172494409184E-2</v>
      </c>
      <c r="V42" s="73">
        <f ca="1"/>
        <v>-0.15957621080998541</v>
      </c>
      <c r="W42" s="73">
        <f ca="1"/>
        <v>-0.94195543374701307</v>
      </c>
      <c r="X42" s="73">
        <f ca="1"/>
        <v>-6.7053685063471091E-2</v>
      </c>
      <c r="Y42" s="73">
        <f ca="1"/>
        <v>0.59418078404185604</v>
      </c>
      <c r="Z42" s="73">
        <f ca="1"/>
        <v>0.1774538890225219</v>
      </c>
      <c r="AA42" s="74">
        <f ca="1"/>
        <v>-0.36082128424698645</v>
      </c>
      <c r="AC42" s="70">
        <f ca="1"/>
        <v>-0.72481411107697413</v>
      </c>
      <c r="AD42" s="70">
        <f ca="1"/>
        <v>-1.3515534321027829</v>
      </c>
      <c r="AE42" s="70">
        <f ca="1"/>
        <v>-1.1568130033273554</v>
      </c>
      <c r="AF42" s="70">
        <f ca="1"/>
        <v>0.13983905623176973</v>
      </c>
    </row>
    <row r="43" spans="2:32" ht="17" customHeight="1" x14ac:dyDescent="0.2">
      <c r="B43" s="72">
        <f ca="1"/>
        <v>-0.25394831436101772</v>
      </c>
      <c r="C43" s="73">
        <f ca="1"/>
        <v>-3.8081613011220039E-2</v>
      </c>
      <c r="D43" s="73">
        <f ca="1"/>
        <v>0.65027831677840564</v>
      </c>
      <c r="E43" s="73">
        <f ca="1"/>
        <v>0.92092241223699389</v>
      </c>
      <c r="F43" s="73">
        <f ca="1"/>
        <v>8.9989093710407531E-4</v>
      </c>
      <c r="G43" s="73">
        <f ca="1"/>
        <v>-0.89124000477594656</v>
      </c>
      <c r="H43" s="73">
        <f ca="1"/>
        <v>-0.25467868195883647</v>
      </c>
      <c r="I43" s="73">
        <f ca="1"/>
        <v>-0.39729851965737772</v>
      </c>
      <c r="J43" s="73">
        <f ca="1"/>
        <v>-7.8828382314938494E-2</v>
      </c>
      <c r="K43" s="73">
        <f ca="1"/>
        <v>0.79950954376936845</v>
      </c>
      <c r="L43" s="73">
        <f ca="1"/>
        <v>-0.35074335354521025</v>
      </c>
      <c r="M43" s="73">
        <f ca="1"/>
        <v>-0.84807633557850592</v>
      </c>
      <c r="N43" s="73">
        <f ca="1"/>
        <v>-9.7641417321354895E-2</v>
      </c>
      <c r="O43" s="73">
        <f ca="1"/>
        <v>-0.55352912450453795</v>
      </c>
      <c r="P43" s="73">
        <f ca="1"/>
        <v>0.77130887514706692</v>
      </c>
      <c r="Q43" s="73">
        <f ca="1"/>
        <v>-0.82793985658310976</v>
      </c>
      <c r="R43" s="73">
        <f ca="1"/>
        <v>-0.61018244634642649</v>
      </c>
      <c r="S43" s="73">
        <f ca="1"/>
        <v>0.72843181258175504</v>
      </c>
      <c r="T43" s="73">
        <f ca="1"/>
        <v>0.48515831212039462</v>
      </c>
      <c r="U43" s="73">
        <f ca="1"/>
        <v>0.3600705638098165</v>
      </c>
      <c r="V43" s="73">
        <f ca="1"/>
        <v>0.9357589007238809</v>
      </c>
      <c r="W43" s="73">
        <f ca="1"/>
        <v>0.71815518958511193</v>
      </c>
      <c r="X43" s="73">
        <f ca="1"/>
        <v>-0.20202437235300463</v>
      </c>
      <c r="Y43" s="73">
        <f ca="1"/>
        <v>-0.99057584655663544</v>
      </c>
      <c r="Z43" s="73">
        <f ca="1"/>
        <v>-0.25003748827382322</v>
      </c>
      <c r="AA43" s="74">
        <f ca="1"/>
        <v>-0.17411469739767371</v>
      </c>
      <c r="AC43" s="71">
        <f ca="1"/>
        <v>-0.2957751579039819</v>
      </c>
      <c r="AD43" s="71">
        <f ca="1"/>
        <v>-1.455585164169716</v>
      </c>
      <c r="AE43" s="71">
        <f ca="1"/>
        <v>-0.61756060324766704</v>
      </c>
      <c r="AF43" s="71">
        <f ca="1"/>
        <v>-0.3172575054803341</v>
      </c>
    </row>
    <row r="45" spans="2:32" ht="17" customHeight="1" x14ac:dyDescent="0.2">
      <c r="AC45" s="68" t="s">
        <v>94</v>
      </c>
    </row>
    <row r="46" spans="2:32" ht="17" customHeight="1" x14ac:dyDescent="0.2">
      <c r="AC46" s="69" cm="1">
        <f t="array" aca="1" ref="AC46:AF48" ca="1">IF(Blueprint!AC41:AF43&gt;0, Blueprint!AC41:AF43, 0)</f>
        <v>0</v>
      </c>
      <c r="AD46" s="69">
        <f ca="1"/>
        <v>0</v>
      </c>
      <c r="AE46" s="69">
        <f ca="1"/>
        <v>0</v>
      </c>
      <c r="AF46" s="69">
        <f ca="1"/>
        <v>0</v>
      </c>
    </row>
    <row r="47" spans="2:32" ht="17" customHeight="1" x14ac:dyDescent="0.2">
      <c r="AC47" s="70">
        <f ca="1"/>
        <v>0</v>
      </c>
      <c r="AD47" s="70">
        <f ca="1"/>
        <v>0</v>
      </c>
      <c r="AE47" s="70">
        <f ca="1"/>
        <v>0</v>
      </c>
      <c r="AF47" s="70">
        <f ca="1"/>
        <v>0.13983905623176973</v>
      </c>
    </row>
    <row r="48" spans="2:32" ht="17" customHeight="1" x14ac:dyDescent="0.2">
      <c r="AC48" s="71">
        <f ca="1"/>
        <v>0</v>
      </c>
      <c r="AD48" s="71">
        <f ca="1"/>
        <v>0</v>
      </c>
      <c r="AE48" s="71">
        <f ca="1"/>
        <v>0</v>
      </c>
      <c r="AF48" s="71">
        <f ca="1"/>
        <v>0</v>
      </c>
    </row>
    <row r="50" spans="24:32" ht="17" customHeight="1" x14ac:dyDescent="0.2">
      <c r="AC50" s="68" t="s">
        <v>100</v>
      </c>
    </row>
    <row r="51" spans="24:32" ht="17" customHeight="1" x14ac:dyDescent="0.2">
      <c r="AC51" s="76" cm="1">
        <f t="array" aca="1" ref="AC51:AF51" ca="1">_xlfn.BYCOL(Blueprint!AC46:AF48, _xlfn.LAMBDA(_xlpm.col, AVERAGE(_xlpm.col)))</f>
        <v>0</v>
      </c>
      <c r="AD51" s="76">
        <f ca="1"/>
        <v>0</v>
      </c>
      <c r="AE51" s="76">
        <f ca="1"/>
        <v>0</v>
      </c>
      <c r="AF51" s="76">
        <f ca="1"/>
        <v>4.6613018743923242E-2</v>
      </c>
    </row>
    <row r="52" spans="24:32" ht="17" customHeight="1" x14ac:dyDescent="0.2">
      <c r="AC52" s="68" t="s">
        <v>101</v>
      </c>
    </row>
    <row r="53" spans="24:32" ht="17" customHeight="1" x14ac:dyDescent="0.2">
      <c r="AC53" s="76" cm="1">
        <f t="array" aca="1" ref="AC53:AF53" ca="1">_xlfn.BYCOL(Blueprint!AC46:AF48, _xlfn.LAMBDA(_xlpm.col, _xlfn.STDEV.S(_xlpm.col)))</f>
        <v>0</v>
      </c>
      <c r="AD53" s="76">
        <f ca="1"/>
        <v>0</v>
      </c>
      <c r="AE53" s="76">
        <f ca="1"/>
        <v>0</v>
      </c>
      <c r="AF53" s="76">
        <f ca="1"/>
        <v>8.0736116758635471E-2</v>
      </c>
    </row>
    <row r="54" spans="24:32" ht="17" customHeight="1" x14ac:dyDescent="0.2">
      <c r="AC54" s="68" t="s">
        <v>102</v>
      </c>
    </row>
    <row r="55" spans="24:32" ht="17" customHeight="1" x14ac:dyDescent="0.2">
      <c r="AC55" s="69" cm="1">
        <f t="array" aca="1" ref="AC55:AF58" ca="1">_xlfn.VSTACK((Blueprint!AC46:AF48 - Blueprint!AC51:AF51)/(Blueprint!AC53:AF53 - 0.00000001), _xlfn.SEQUENCE(1,4)*0+1)</f>
        <v>0</v>
      </c>
      <c r="AD55" s="69">
        <f ca="1"/>
        <v>0</v>
      </c>
      <c r="AE55" s="69">
        <f ca="1"/>
        <v>0</v>
      </c>
      <c r="AF55" s="69">
        <f ca="1"/>
        <v>-0.57735034070041469</v>
      </c>
    </row>
    <row r="56" spans="24:32" ht="17" customHeight="1" x14ac:dyDescent="0.2">
      <c r="AC56" s="70">
        <f ca="1"/>
        <v>0</v>
      </c>
      <c r="AD56" s="70">
        <f ca="1"/>
        <v>0</v>
      </c>
      <c r="AE56" s="70">
        <f ca="1"/>
        <v>0</v>
      </c>
      <c r="AF56" s="70">
        <f ca="1"/>
        <v>1.1547006814008294</v>
      </c>
    </row>
    <row r="57" spans="24:32" ht="17" customHeight="1" x14ac:dyDescent="0.2">
      <c r="AC57" s="71">
        <f ca="1"/>
        <v>0</v>
      </c>
      <c r="AD57" s="71">
        <f ca="1"/>
        <v>0</v>
      </c>
      <c r="AE57" s="71">
        <f ca="1"/>
        <v>0</v>
      </c>
      <c r="AF57" s="71">
        <f ca="1"/>
        <v>-0.57735034070041469</v>
      </c>
    </row>
    <row r="58" spans="24:32" ht="17" customHeight="1" x14ac:dyDescent="0.2">
      <c r="AC58" s="66">
        <f ca="1"/>
        <v>1</v>
      </c>
      <c r="AD58" s="66">
        <f ca="1"/>
        <v>1</v>
      </c>
      <c r="AE58" s="66">
        <f ca="1"/>
        <v>1</v>
      </c>
      <c r="AF58" s="66">
        <f ca="1"/>
        <v>1</v>
      </c>
    </row>
    <row r="60" spans="24:32" ht="17" customHeight="1" x14ac:dyDescent="0.2">
      <c r="X60" s="68" t="s">
        <v>83</v>
      </c>
      <c r="AC60" s="68" t="s">
        <v>76</v>
      </c>
    </row>
    <row r="61" spans="24:32" ht="17" customHeight="1" x14ac:dyDescent="0.2">
      <c r="X61" s="72" cm="1">
        <f t="array" aca="1" ref="X61:AA70" ca="1">_xlfn.RANDARRAY(10, 4, -1, 1)</f>
        <v>-0.84414781727571153</v>
      </c>
      <c r="Y61" s="73">
        <f ca="1"/>
        <v>5.2653432063675121E-2</v>
      </c>
      <c r="Z61" s="73">
        <f ca="1"/>
        <v>0.47072807685144413</v>
      </c>
      <c r="AA61" s="74">
        <f ca="1"/>
        <v>-0.52932758101603428</v>
      </c>
      <c r="AC61" s="69" cm="1">
        <f t="array" aca="1" ref="AC61:AF70" ca="1">MMULT(Blueprint!X61:AA70,Blueprint!AC55:AF58)</f>
        <v>-0.52932758101603428</v>
      </c>
      <c r="AD61" s="69">
        <f ca="1"/>
        <v>-0.52932758101603428</v>
      </c>
      <c r="AE61" s="69">
        <f ca="1"/>
        <v>-0.52932758101603428</v>
      </c>
      <c r="AF61" s="69">
        <f ca="1"/>
        <v>-0.25293461277580515</v>
      </c>
    </row>
    <row r="62" spans="24:32" ht="17" customHeight="1" x14ac:dyDescent="0.2">
      <c r="X62" s="72">
        <f ca="1"/>
        <v>0.21721745104755574</v>
      </c>
      <c r="Y62" s="73">
        <f ca="1"/>
        <v>-0.62329123005192111</v>
      </c>
      <c r="Z62" s="73">
        <f ca="1"/>
        <v>0.88380279174681764</v>
      </c>
      <c r="AA62" s="74">
        <f ca="1"/>
        <v>0.35166068353326163</v>
      </c>
      <c r="AC62" s="70">
        <f ca="1"/>
        <v>0.35166068353326163</v>
      </c>
      <c r="AD62" s="70">
        <f ca="1"/>
        <v>0.35166068353326163</v>
      </c>
      <c r="AE62" s="70">
        <f ca="1"/>
        <v>0.35166068353326163</v>
      </c>
      <c r="AF62" s="70">
        <f ca="1"/>
        <v>-1.0037285368142375</v>
      </c>
    </row>
    <row r="63" spans="24:32" ht="17" customHeight="1" x14ac:dyDescent="0.2">
      <c r="X63" s="72">
        <f ca="1"/>
        <v>-0.53712399506045294</v>
      </c>
      <c r="Y63" s="73">
        <f ca="1"/>
        <v>-0.597672670369642</v>
      </c>
      <c r="Z63" s="73">
        <f ca="1"/>
        <v>-0.27393276373263964</v>
      </c>
      <c r="AA63" s="74">
        <f ca="1"/>
        <v>0.72232893777575535</v>
      </c>
      <c r="AC63" s="70">
        <f ca="1"/>
        <v>0.72232893777575535</v>
      </c>
      <c r="AD63" s="70">
        <f ca="1"/>
        <v>0.72232893777575535</v>
      </c>
      <c r="AE63" s="70">
        <f ca="1"/>
        <v>0.72232893777575535</v>
      </c>
      <c r="AF63" s="70">
        <f ca="1"/>
        <v>0.50045979406184249</v>
      </c>
    </row>
    <row r="64" spans="24:32" ht="17" customHeight="1" x14ac:dyDescent="0.2">
      <c r="X64" s="72">
        <f ca="1"/>
        <v>0.78968665466132482</v>
      </c>
      <c r="Y64" s="73">
        <f ca="1"/>
        <v>0.5834276560597671</v>
      </c>
      <c r="Z64" s="73">
        <f ca="1"/>
        <v>-6.3588464163316649E-2</v>
      </c>
      <c r="AA64" s="74">
        <f ca="1"/>
        <v>-0.91727300747093743</v>
      </c>
      <c r="AC64" s="70">
        <f ca="1"/>
        <v>-0.91727300747093743</v>
      </c>
      <c r="AD64" s="70">
        <f ca="1"/>
        <v>-0.91727300747093743</v>
      </c>
      <c r="AE64" s="70">
        <f ca="1"/>
        <v>-0.91727300747093743</v>
      </c>
      <c r="AF64" s="70">
        <f ca="1"/>
        <v>-0.66280173313661528</v>
      </c>
    </row>
    <row r="65" spans="24:32" ht="17" customHeight="1" x14ac:dyDescent="0.2">
      <c r="X65" s="72">
        <f ca="1"/>
        <v>-0.83850265887680342</v>
      </c>
      <c r="Y65" s="73">
        <f ca="1"/>
        <v>-0.59468042488216111</v>
      </c>
      <c r="Z65" s="73">
        <f ca="1"/>
        <v>0.78463168786900428</v>
      </c>
      <c r="AA65" s="74">
        <f ca="1"/>
        <v>-0.3314718538249779</v>
      </c>
      <c r="AC65" s="70">
        <f ca="1"/>
        <v>-0.3314718538249779</v>
      </c>
      <c r="AD65" s="70">
        <f ca="1"/>
        <v>-0.3314718538249779</v>
      </c>
      <c r="AE65" s="70">
        <f ca="1"/>
        <v>-0.3314718538249779</v>
      </c>
      <c r="AF65" s="70">
        <f ca="1"/>
        <v>-0.98704732218692914</v>
      </c>
    </row>
    <row r="66" spans="24:32" ht="17" customHeight="1" x14ac:dyDescent="0.2">
      <c r="X66" s="72">
        <f ca="1"/>
        <v>0.5916042438245559</v>
      </c>
      <c r="Y66" s="73">
        <f ca="1"/>
        <v>-0.86955243901323964</v>
      </c>
      <c r="Z66" s="73">
        <f ca="1"/>
        <v>-0.27037616751715499</v>
      </c>
      <c r="AA66" s="74">
        <f ca="1"/>
        <v>-0.47582399351857285</v>
      </c>
      <c r="AC66" s="70">
        <f ca="1"/>
        <v>-0.47582399351857285</v>
      </c>
      <c r="AD66" s="70">
        <f ca="1"/>
        <v>-0.47582399351857285</v>
      </c>
      <c r="AE66" s="70">
        <f ca="1"/>
        <v>-0.47582399351857285</v>
      </c>
      <c r="AF66" s="70">
        <f ca="1"/>
        <v>-1.6653579266595306</v>
      </c>
    </row>
    <row r="67" spans="24:32" ht="17" customHeight="1" x14ac:dyDescent="0.2">
      <c r="X67" s="72">
        <f ca="1"/>
        <v>-0.71217409287924616</v>
      </c>
      <c r="Y67" s="73">
        <f ca="1"/>
        <v>0.52480166307883014</v>
      </c>
      <c r="Z67" s="73">
        <f ca="1"/>
        <v>0.75952336793880382</v>
      </c>
      <c r="AA67" s="74">
        <f ca="1"/>
        <v>0.21552679309675593</v>
      </c>
      <c r="AC67" s="70">
        <f ca="1"/>
        <v>0.21552679309675593</v>
      </c>
      <c r="AD67" s="70">
        <f ca="1"/>
        <v>0.21552679309675593</v>
      </c>
      <c r="AE67" s="70">
        <f ca="1"/>
        <v>0.21552679309675593</v>
      </c>
      <c r="AF67" s="70">
        <f ca="1"/>
        <v>0.79417851096661618</v>
      </c>
    </row>
    <row r="68" spans="24:32" ht="17" customHeight="1" x14ac:dyDescent="0.2">
      <c r="X68" s="72">
        <f ca="1"/>
        <v>-6.8614032402148917E-2</v>
      </c>
      <c r="Y68" s="73">
        <f ca="1"/>
        <v>-5.5361003040568679E-2</v>
      </c>
      <c r="Z68" s="73">
        <f ca="1"/>
        <v>-6.8870005649792621E-2</v>
      </c>
      <c r="AA68" s="74">
        <f ca="1"/>
        <v>-6.1678973379677871E-2</v>
      </c>
      <c r="AC68" s="70">
        <f ca="1"/>
        <v>-6.1678973379677871E-2</v>
      </c>
      <c r="AD68" s="70">
        <f ca="1"/>
        <v>-6.1678973379677871E-2</v>
      </c>
      <c r="AE68" s="70">
        <f ca="1"/>
        <v>-6.1678973379677871E-2</v>
      </c>
      <c r="AF68" s="70">
        <f ca="1"/>
        <v>-4.6227905103498682E-2</v>
      </c>
    </row>
    <row r="69" spans="24:32" ht="17" customHeight="1" x14ac:dyDescent="0.2">
      <c r="X69" s="72">
        <f ca="1"/>
        <v>0.2035586656949393</v>
      </c>
      <c r="Y69" s="73">
        <f ca="1"/>
        <v>-0.78512467049221391</v>
      </c>
      <c r="Z69" s="73">
        <f ca="1"/>
        <v>0.17728317442515662</v>
      </c>
      <c r="AA69" s="74">
        <f ca="1"/>
        <v>0.37342750366370914</v>
      </c>
      <c r="AC69" s="70">
        <f ca="1"/>
        <v>0.37342750366370914</v>
      </c>
      <c r="AD69" s="70">
        <f ca="1"/>
        <v>0.37342750366370914</v>
      </c>
      <c r="AE69" s="70">
        <f ca="1"/>
        <v>0.37342750366370914</v>
      </c>
      <c r="AF69" s="70">
        <f ca="1"/>
        <v>-0.75303565448456222</v>
      </c>
    </row>
    <row r="70" spans="24:32" ht="17" customHeight="1" x14ac:dyDescent="0.2">
      <c r="X70" s="72">
        <f ca="1"/>
        <v>0.14499748260191647</v>
      </c>
      <c r="Y70" s="73">
        <f ca="1"/>
        <v>-0.50381993024846694</v>
      </c>
      <c r="Z70" s="73">
        <f ca="1"/>
        <v>-0.50112041634792948</v>
      </c>
      <c r="AA70" s="74">
        <f ca="1"/>
        <v>0.31589104166024251</v>
      </c>
      <c r="AC70" s="71">
        <f ca="1"/>
        <v>0.31589104166024251</v>
      </c>
      <c r="AD70" s="71">
        <f ca="1"/>
        <v>0.31589104166024251</v>
      </c>
      <c r="AE70" s="71">
        <f ca="1"/>
        <v>0.31589104166024251</v>
      </c>
      <c r="AF70" s="71">
        <f ca="1"/>
        <v>-6.0262477971488759E-2</v>
      </c>
    </row>
    <row r="72" spans="24:32" ht="17" customHeight="1" x14ac:dyDescent="0.2">
      <c r="AC72" s="68" t="s">
        <v>91</v>
      </c>
    </row>
    <row r="73" spans="24:32" ht="17" customHeight="1" x14ac:dyDescent="0.2">
      <c r="AC73" s="69" cm="1">
        <f t="array" aca="1" ref="AC73:AF82" ca="1">EXP(Blueprint!AC61:AF70)</f>
        <v>0.58900089193192529</v>
      </c>
      <c r="AD73" s="69">
        <f ca="1"/>
        <v>0.58900089193192529</v>
      </c>
      <c r="AE73" s="69">
        <f ca="1"/>
        <v>0.58900089193192529</v>
      </c>
      <c r="AF73" s="69">
        <f ca="1"/>
        <v>0.77651865456313285</v>
      </c>
    </row>
    <row r="74" spans="24:32" ht="17" customHeight="1" x14ac:dyDescent="0.2">
      <c r="AC74" s="70">
        <f ca="1"/>
        <v>1.421426128589218</v>
      </c>
      <c r="AD74" s="70">
        <f ca="1"/>
        <v>1.421426128589218</v>
      </c>
      <c r="AE74" s="70">
        <f ca="1"/>
        <v>1.421426128589218</v>
      </c>
      <c r="AF74" s="70">
        <f ca="1"/>
        <v>0.36651034308424196</v>
      </c>
    </row>
    <row r="75" spans="24:32" ht="17" customHeight="1" x14ac:dyDescent="0.2">
      <c r="AC75" s="70">
        <f ca="1"/>
        <v>2.0592234336564257</v>
      </c>
      <c r="AD75" s="70">
        <f ca="1"/>
        <v>2.0592234336564257</v>
      </c>
      <c r="AE75" s="70">
        <f ca="1"/>
        <v>2.0592234336564257</v>
      </c>
      <c r="AF75" s="70">
        <f ca="1"/>
        <v>1.6494795172553027</v>
      </c>
    </row>
    <row r="76" spans="24:32" ht="17" customHeight="1" x14ac:dyDescent="0.2">
      <c r="AC76" s="70">
        <f ca="1"/>
        <v>0.39960728267118795</v>
      </c>
      <c r="AD76" s="70">
        <f ca="1"/>
        <v>0.39960728267118795</v>
      </c>
      <c r="AE76" s="70">
        <f ca="1"/>
        <v>0.39960728267118795</v>
      </c>
      <c r="AF76" s="70">
        <f ca="1"/>
        <v>0.51540528165415045</v>
      </c>
    </row>
    <row r="77" spans="24:32" ht="17" customHeight="1" x14ac:dyDescent="0.2">
      <c r="AC77" s="70">
        <f ca="1"/>
        <v>0.71786636112463131</v>
      </c>
      <c r="AD77" s="70">
        <f ca="1"/>
        <v>0.71786636112463131</v>
      </c>
      <c r="AE77" s="70">
        <f ca="1"/>
        <v>0.71786636112463131</v>
      </c>
      <c r="AF77" s="70">
        <f ca="1"/>
        <v>0.37267545862856494</v>
      </c>
    </row>
    <row r="78" spans="24:32" ht="17" customHeight="1" x14ac:dyDescent="0.2">
      <c r="AC78" s="70">
        <f ca="1"/>
        <v>0.62137283827041334</v>
      </c>
      <c r="AD78" s="70">
        <f ca="1"/>
        <v>0.62137283827041334</v>
      </c>
      <c r="AE78" s="70">
        <f ca="1"/>
        <v>0.62137283827041334</v>
      </c>
      <c r="AF78" s="70">
        <f ca="1"/>
        <v>0.18912295371905927</v>
      </c>
    </row>
    <row r="79" spans="24:32" ht="17" customHeight="1" x14ac:dyDescent="0.2">
      <c r="AC79" s="70">
        <f ca="1"/>
        <v>1.2405152197221645</v>
      </c>
      <c r="AD79" s="70">
        <f ca="1"/>
        <v>1.2405152197221645</v>
      </c>
      <c r="AE79" s="70">
        <f ca="1"/>
        <v>1.2405152197221645</v>
      </c>
      <c r="AF79" s="70">
        <f ca="1"/>
        <v>2.2126226048069273</v>
      </c>
    </row>
    <row r="80" spans="24:32" ht="17" customHeight="1" x14ac:dyDescent="0.2">
      <c r="AC80" s="70">
        <f ca="1"/>
        <v>0.9401846626541851</v>
      </c>
      <c r="AD80" s="70">
        <f ca="1"/>
        <v>0.9401846626541851</v>
      </c>
      <c r="AE80" s="70">
        <f ca="1"/>
        <v>0.9401846626541851</v>
      </c>
      <c r="AF80" s="70">
        <f ca="1"/>
        <v>0.95482432805438322</v>
      </c>
    </row>
    <row r="81" spans="29:32" ht="17" customHeight="1" x14ac:dyDescent="0.2">
      <c r="AC81" s="70">
        <f ca="1"/>
        <v>1.4527052439179977</v>
      </c>
      <c r="AD81" s="70">
        <f ca="1"/>
        <v>1.4527052439179977</v>
      </c>
      <c r="AE81" s="70">
        <f ca="1"/>
        <v>1.4527052439179977</v>
      </c>
      <c r="AF81" s="70">
        <f ca="1"/>
        <v>0.4709347853718483</v>
      </c>
    </row>
    <row r="82" spans="29:32" ht="17" customHeight="1" x14ac:dyDescent="0.2">
      <c r="AC82" s="71">
        <f ca="1"/>
        <v>1.3714808132122751</v>
      </c>
      <c r="AD82" s="71">
        <f ca="1"/>
        <v>1.3714808132122751</v>
      </c>
      <c r="AE82" s="71">
        <f ca="1"/>
        <v>1.3714808132122751</v>
      </c>
      <c r="AF82" s="71">
        <f ca="1"/>
        <v>0.94151737357830101</v>
      </c>
    </row>
    <row r="84" spans="29:32" ht="17" customHeight="1" x14ac:dyDescent="0.2">
      <c r="AC84" s="68" t="s">
        <v>92</v>
      </c>
    </row>
    <row r="85" spans="29:32" ht="17" customHeight="1" x14ac:dyDescent="0.2">
      <c r="AC85" s="76" cm="1">
        <f t="array" aca="1" ref="AC85:AF85" ca="1">_xlfn.BYCOL(Blueprint!AC73:AF82, _xlfn.LAMBDA(_xlpm.col, SUM(_xlpm.col)))</f>
        <v>10.813382875750424</v>
      </c>
      <c r="AD85" s="76">
        <f ca="1"/>
        <v>10.813382875750424</v>
      </c>
      <c r="AE85" s="76">
        <f ca="1"/>
        <v>10.813382875750424</v>
      </c>
      <c r="AF85" s="76">
        <f ca="1"/>
        <v>8.4496113007159117</v>
      </c>
    </row>
    <row r="87" spans="29:32" ht="17" customHeight="1" x14ac:dyDescent="0.2">
      <c r="AC87" s="68" t="s">
        <v>93</v>
      </c>
    </row>
    <row r="88" spans="29:32" ht="17" customHeight="1" x14ac:dyDescent="0.2">
      <c r="AC88" s="69" cm="1">
        <f t="array" aca="1" ref="AC88:AF97" ca="1">Blueprint!AC73:AF82/Blueprint!AC85:AF85</f>
        <v>5.4469623308427424E-2</v>
      </c>
      <c r="AD88" s="69">
        <f ca="1"/>
        <v>5.4469623308427424E-2</v>
      </c>
      <c r="AE88" s="69">
        <f ca="1"/>
        <v>5.4469623308427424E-2</v>
      </c>
      <c r="AF88" s="69">
        <f ca="1"/>
        <v>9.1899926153684794E-2</v>
      </c>
    </row>
    <row r="89" spans="29:32" ht="17" customHeight="1" x14ac:dyDescent="0.2">
      <c r="AC89" s="70">
        <f ca="1"/>
        <v>0.13145064268248935</v>
      </c>
      <c r="AD89" s="70">
        <f ca="1"/>
        <v>0.13145064268248935</v>
      </c>
      <c r="AE89" s="70">
        <f ca="1"/>
        <v>0.13145064268248935</v>
      </c>
      <c r="AF89" s="70">
        <f ca="1"/>
        <v>4.337600039106989E-2</v>
      </c>
    </row>
    <row r="90" spans="29:32" ht="17" customHeight="1" x14ac:dyDescent="0.2">
      <c r="AC90" s="70">
        <f ca="1"/>
        <v>0.19043286058744316</v>
      </c>
      <c r="AD90" s="70">
        <f ca="1"/>
        <v>0.19043286058744316</v>
      </c>
      <c r="AE90" s="70">
        <f ca="1"/>
        <v>0.19043286058744316</v>
      </c>
      <c r="AF90" s="70">
        <f ca="1"/>
        <v>0.19521365640991639</v>
      </c>
    </row>
    <row r="91" spans="29:32" ht="17" customHeight="1" x14ac:dyDescent="0.2">
      <c r="AC91" s="70">
        <f ca="1"/>
        <v>3.6954881489244973E-2</v>
      </c>
      <c r="AD91" s="70">
        <f ca="1"/>
        <v>3.6954881489244973E-2</v>
      </c>
      <c r="AE91" s="70">
        <f ca="1"/>
        <v>3.6954881489244973E-2</v>
      </c>
      <c r="AF91" s="70">
        <f ca="1"/>
        <v>6.0997513768530583E-2</v>
      </c>
    </row>
    <row r="92" spans="29:32" ht="17" customHeight="1" x14ac:dyDescent="0.2">
      <c r="AC92" s="70">
        <f ca="1"/>
        <v>6.6386843911213397E-2</v>
      </c>
      <c r="AD92" s="70">
        <f ca="1"/>
        <v>6.6386843911213397E-2</v>
      </c>
      <c r="AE92" s="70">
        <f ca="1"/>
        <v>6.6386843911213397E-2</v>
      </c>
      <c r="AF92" s="70">
        <f ca="1"/>
        <v>4.4105633426828661E-2</v>
      </c>
    </row>
    <row r="93" spans="29:32" ht="17" customHeight="1" x14ac:dyDescent="0.2">
      <c r="AC93" s="70">
        <f ca="1"/>
        <v>5.7463316097303312E-2</v>
      </c>
      <c r="AD93" s="70">
        <f ca="1"/>
        <v>5.7463316097303312E-2</v>
      </c>
      <c r="AE93" s="70">
        <f ca="1"/>
        <v>5.7463316097303312E-2</v>
      </c>
      <c r="AF93" s="70">
        <f ca="1"/>
        <v>2.238244423184714E-2</v>
      </c>
    </row>
    <row r="94" spans="29:32" ht="17" customHeight="1" x14ac:dyDescent="0.2">
      <c r="AC94" s="70">
        <f ca="1"/>
        <v>0.11472036401338241</v>
      </c>
      <c r="AD94" s="70">
        <f ca="1"/>
        <v>0.11472036401338241</v>
      </c>
      <c r="AE94" s="70">
        <f ca="1"/>
        <v>0.11472036401338241</v>
      </c>
      <c r="AF94" s="70">
        <f ca="1"/>
        <v>0.26186087454927753</v>
      </c>
    </row>
    <row r="95" spans="29:32" ht="17" customHeight="1" x14ac:dyDescent="0.2">
      <c r="AC95" s="70">
        <f ca="1"/>
        <v>8.6946395356313363E-2</v>
      </c>
      <c r="AD95" s="70">
        <f ca="1"/>
        <v>8.6946395356313363E-2</v>
      </c>
      <c r="AE95" s="70">
        <f ca="1"/>
        <v>8.6946395356313363E-2</v>
      </c>
      <c r="AF95" s="70">
        <f ca="1"/>
        <v>0.11300215998971262</v>
      </c>
    </row>
    <row r="96" spans="29:32" ht="17" customHeight="1" x14ac:dyDescent="0.2">
      <c r="AC96" s="70">
        <f ca="1"/>
        <v>0.13434327264743073</v>
      </c>
      <c r="AD96" s="70">
        <f ca="1"/>
        <v>0.13434327264743073</v>
      </c>
      <c r="AE96" s="70">
        <f ca="1"/>
        <v>0.13434327264743073</v>
      </c>
      <c r="AF96" s="70">
        <f ca="1"/>
        <v>5.5734491044806676E-2</v>
      </c>
    </row>
    <row r="97" spans="29:32" ht="17" customHeight="1" x14ac:dyDescent="0.2">
      <c r="AC97" s="71">
        <f ca="1"/>
        <v>0.12683179990675189</v>
      </c>
      <c r="AD97" s="71">
        <f ca="1"/>
        <v>0.12683179990675189</v>
      </c>
      <c r="AE97" s="71">
        <f ca="1"/>
        <v>0.12683179990675189</v>
      </c>
      <c r="AF97" s="71">
        <f ca="1"/>
        <v>0.11142730003432572</v>
      </c>
    </row>
  </sheetData>
  <conditionalFormatting sqref="B41:AA43">
    <cfRule type="colorScale" priority="6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X61:AA70">
    <cfRule type="colorScale" priority="12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C13:AF37">
    <cfRule type="colorScale" priority="5">
      <colorScale>
        <cfvo type="min"/>
        <cfvo type="percentile" val="50"/>
        <cfvo type="max"/>
        <color rgb="FF696969"/>
        <color rgb="FFF5F5F5"/>
        <color rgb="FFF5F5F5"/>
      </colorScale>
    </cfRule>
  </conditionalFormatting>
  <conditionalFormatting sqref="AC41:AF43">
    <cfRule type="colorScale" priority="7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C46:AF48">
    <cfRule type="colorScale" priority="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C51:AF51">
    <cfRule type="colorScale" priority="9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AC53:AF53">
    <cfRule type="colorScale" priority="10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AC55:AF57">
    <cfRule type="colorScale" priority="1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C61:AF70">
    <cfRule type="colorScale" priority="13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C73:AF82">
    <cfRule type="colorScale" priority="14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AC85:AF85">
    <cfRule type="colorScale" priority="1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AC88:AF97">
    <cfRule type="colorScale" priority="1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C6:AG10">
    <cfRule type="colorScale" priority="1">
      <colorScale>
        <cfvo type="num" val="0"/>
        <cfvo type="num" val="1"/>
        <color rgb="FF696969"/>
        <color rgb="FFF5F5F5"/>
      </colorScale>
    </cfRule>
  </conditionalFormatting>
  <conditionalFormatting sqref="AH6:AL10">
    <cfRule type="colorScale" priority="2">
      <colorScale>
        <cfvo type="num" val="0"/>
        <cfvo type="num" val="1"/>
        <color rgb="FF696969"/>
        <color rgb="FFF5F5F5"/>
      </colorScale>
    </cfRule>
  </conditionalFormatting>
  <conditionalFormatting sqref="AM6:AQ10">
    <cfRule type="colorScale" priority="3">
      <colorScale>
        <cfvo type="num" val="0"/>
        <cfvo type="num" val="1"/>
        <color rgb="FF696969"/>
        <color rgb="FFF5F5F5"/>
      </colorScale>
    </cfRule>
  </conditionalFormatting>
  <conditionalFormatting sqref="AR6:AV10">
    <cfRule type="colorScale" priority="4">
      <colorScale>
        <cfvo type="num" val="0"/>
        <cfvo type="num" val="1"/>
        <color rgb="FF696969"/>
        <color rgb="FFF5F5F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A6C1-F9B1-1D4D-B991-6D5EB052FE8A}">
  <dimension ref="A1:BD42"/>
  <sheetViews>
    <sheetView topLeftCell="A11" zoomScale="134" workbookViewId="0">
      <selection activeCell="J32" sqref="J32"/>
    </sheetView>
  </sheetViews>
  <sheetFormatPr baseColWidth="10" defaultColWidth="3.83203125" defaultRowHeight="15" x14ac:dyDescent="0.2"/>
  <cols>
    <col min="1" max="1" width="4" style="41" bestFit="1" customWidth="1"/>
    <col min="2" max="15" width="3.83203125" style="13"/>
    <col min="16" max="16" width="3.83203125" style="13" customWidth="1"/>
    <col min="17" max="19" width="3.83203125" style="13"/>
    <col min="20" max="20" width="3.83203125" style="13" customWidth="1"/>
    <col min="21" max="22" width="3.83203125" style="13"/>
    <col min="23" max="23" width="3.83203125" style="13" customWidth="1"/>
    <col min="24" max="30" width="3.83203125" style="54"/>
    <col min="31" max="16384" width="3.83203125" style="13"/>
  </cols>
  <sheetData>
    <row r="1" spans="1:56" s="41" customFormat="1" ht="20" customHeight="1" x14ac:dyDescent="0.2">
      <c r="A1" s="41">
        <v>0</v>
      </c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>
        <v>13</v>
      </c>
      <c r="O1" s="41">
        <v>14</v>
      </c>
      <c r="P1" s="41">
        <v>15</v>
      </c>
      <c r="Q1" s="41">
        <v>16</v>
      </c>
      <c r="R1" s="41">
        <v>17</v>
      </c>
      <c r="S1" s="41">
        <v>18</v>
      </c>
      <c r="T1" s="41">
        <v>19</v>
      </c>
      <c r="U1" s="41">
        <v>20</v>
      </c>
      <c r="V1" s="41">
        <v>21</v>
      </c>
      <c r="W1" s="41">
        <v>22</v>
      </c>
      <c r="X1" s="41">
        <v>23</v>
      </c>
      <c r="Y1" s="41">
        <v>24</v>
      </c>
      <c r="Z1" s="41">
        <v>25</v>
      </c>
      <c r="AA1" s="41">
        <v>26</v>
      </c>
      <c r="AB1" s="41">
        <v>27</v>
      </c>
      <c r="AC1" s="41">
        <v>28</v>
      </c>
      <c r="AD1" s="41">
        <v>29</v>
      </c>
      <c r="AE1" s="41">
        <v>30</v>
      </c>
      <c r="AF1" s="41">
        <v>31</v>
      </c>
      <c r="AG1" s="41">
        <v>32</v>
      </c>
      <c r="AH1" s="41">
        <v>33</v>
      </c>
      <c r="AI1" s="41">
        <v>34</v>
      </c>
      <c r="AJ1" s="41">
        <v>35</v>
      </c>
      <c r="AK1" s="41">
        <v>36</v>
      </c>
      <c r="AL1" s="41">
        <v>37</v>
      </c>
      <c r="AM1" s="41">
        <v>38</v>
      </c>
      <c r="AN1" s="41">
        <v>39</v>
      </c>
      <c r="AO1" s="41">
        <v>40</v>
      </c>
      <c r="AP1" s="41">
        <v>41</v>
      </c>
      <c r="AQ1" s="41">
        <v>42</v>
      </c>
      <c r="AR1" s="41">
        <v>43</v>
      </c>
      <c r="AS1" s="41">
        <v>44</v>
      </c>
      <c r="AT1" s="41">
        <v>45</v>
      </c>
      <c r="AU1" s="41">
        <v>46</v>
      </c>
      <c r="AV1" s="41">
        <v>47</v>
      </c>
      <c r="AW1" s="41">
        <v>48</v>
      </c>
      <c r="AX1" s="41">
        <v>49</v>
      </c>
      <c r="AY1" s="41">
        <v>50</v>
      </c>
      <c r="AZ1" s="41">
        <v>51</v>
      </c>
      <c r="BA1" s="41">
        <v>52</v>
      </c>
      <c r="BB1" s="41">
        <v>53</v>
      </c>
      <c r="BC1" s="41">
        <v>54</v>
      </c>
      <c r="BD1" s="41">
        <v>55</v>
      </c>
    </row>
    <row r="2" spans="1:56" x14ac:dyDescent="0.2">
      <c r="A2" s="41">
        <v>1</v>
      </c>
      <c r="C2" s="23" t="s">
        <v>33</v>
      </c>
    </row>
    <row r="3" spans="1:56" x14ac:dyDescent="0.2">
      <c r="A3" s="41">
        <v>2</v>
      </c>
      <c r="C3" s="62"/>
      <c r="D3" s="55"/>
      <c r="E3" s="65" t="s">
        <v>37</v>
      </c>
      <c r="F3" s="36" t="s">
        <v>47</v>
      </c>
      <c r="G3" s="36" t="s">
        <v>75</v>
      </c>
      <c r="H3" s="36" t="s">
        <v>48</v>
      </c>
      <c r="I3" s="36" t="s">
        <v>49</v>
      </c>
      <c r="J3" s="44" t="s">
        <v>70</v>
      </c>
      <c r="K3" s="15"/>
      <c r="L3" s="15"/>
      <c r="M3" s="15"/>
      <c r="N3" s="16"/>
    </row>
    <row r="4" spans="1:56" x14ac:dyDescent="0.2">
      <c r="A4" s="41">
        <v>3</v>
      </c>
      <c r="C4" s="57"/>
      <c r="D4" s="54"/>
      <c r="E4" s="64" t="s">
        <v>32</v>
      </c>
      <c r="F4" s="13">
        <v>10</v>
      </c>
      <c r="G4" s="13">
        <v>11</v>
      </c>
      <c r="H4" s="13">
        <v>5</v>
      </c>
      <c r="I4" s="13">
        <v>5</v>
      </c>
      <c r="J4" s="13">
        <v>2</v>
      </c>
      <c r="N4" s="18"/>
    </row>
    <row r="5" spans="1:56" x14ac:dyDescent="0.2">
      <c r="A5" s="41">
        <v>4</v>
      </c>
      <c r="C5" s="57"/>
      <c r="D5" s="54"/>
      <c r="E5" s="64" t="s">
        <v>74</v>
      </c>
      <c r="F5" s="13">
        <v>5</v>
      </c>
      <c r="G5" s="13">
        <v>6</v>
      </c>
      <c r="H5" s="13">
        <v>7</v>
      </c>
      <c r="I5" s="13">
        <v>7</v>
      </c>
      <c r="J5" s="13">
        <v>2</v>
      </c>
      <c r="N5" s="18"/>
    </row>
    <row r="6" spans="1:56" x14ac:dyDescent="0.2">
      <c r="A6" s="41">
        <v>5</v>
      </c>
      <c r="C6" s="57"/>
      <c r="D6" s="54"/>
      <c r="E6" s="58"/>
      <c r="N6" s="18"/>
    </row>
    <row r="7" spans="1:56" x14ac:dyDescent="0.2">
      <c r="A7" s="41">
        <v>6</v>
      </c>
      <c r="C7" s="59"/>
      <c r="D7" s="60"/>
      <c r="E7" s="61"/>
      <c r="F7" s="20"/>
      <c r="G7" s="20"/>
      <c r="H7" s="20"/>
      <c r="I7" s="20"/>
      <c r="J7" s="20"/>
      <c r="K7" s="20"/>
      <c r="L7" s="20"/>
      <c r="M7" s="20"/>
      <c r="N7" s="21"/>
    </row>
    <row r="8" spans="1:56" x14ac:dyDescent="0.2">
      <c r="A8" s="41">
        <v>7</v>
      </c>
    </row>
    <row r="9" spans="1:56" x14ac:dyDescent="0.2">
      <c r="A9" s="41">
        <v>8</v>
      </c>
      <c r="C9" s="23" t="s">
        <v>15</v>
      </c>
    </row>
    <row r="10" spans="1:56" x14ac:dyDescent="0.2">
      <c r="A10" s="41">
        <v>9</v>
      </c>
      <c r="C10" s="14"/>
      <c r="D10" s="15"/>
      <c r="E10" s="15"/>
      <c r="F10" s="15"/>
      <c r="G10" s="15"/>
      <c r="H10" s="15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</row>
    <row r="11" spans="1:56" x14ac:dyDescent="0.2">
      <c r="A11" s="41">
        <v>10</v>
      </c>
      <c r="C11" s="17"/>
      <c r="D11" s="35" t="s">
        <v>40</v>
      </c>
      <c r="I11" s="17"/>
      <c r="J11" s="35" t="s">
        <v>39</v>
      </c>
      <c r="U11" s="18"/>
    </row>
    <row r="12" spans="1:56" x14ac:dyDescent="0.2">
      <c r="A12" s="41">
        <v>11</v>
      </c>
      <c r="C12" s="17"/>
      <c r="D12" s="37">
        <v>0</v>
      </c>
      <c r="E12" s="22" t="s">
        <v>7</v>
      </c>
      <c r="F12" s="37"/>
      <c r="G12" s="37"/>
      <c r="H12" s="37"/>
      <c r="I12" s="17"/>
      <c r="J12" s="20">
        <v>0</v>
      </c>
      <c r="K12" s="20">
        <v>1</v>
      </c>
      <c r="L12" s="20">
        <v>2</v>
      </c>
      <c r="M12" s="20">
        <v>3</v>
      </c>
      <c r="N12" s="20">
        <v>4</v>
      </c>
      <c r="O12" s="20">
        <v>5</v>
      </c>
      <c r="P12" s="20">
        <v>6</v>
      </c>
      <c r="Q12" s="20">
        <v>7</v>
      </c>
      <c r="R12" s="20">
        <v>8</v>
      </c>
      <c r="S12" s="20">
        <v>9</v>
      </c>
      <c r="T12" s="20">
        <v>10</v>
      </c>
      <c r="U12" s="18"/>
      <c r="W12" s="14"/>
      <c r="X12" s="55"/>
      <c r="Y12" s="55"/>
      <c r="Z12" s="55"/>
      <c r="AA12" s="55"/>
      <c r="AB12" s="55"/>
      <c r="AC12" s="55"/>
      <c r="AD12" s="56"/>
    </row>
    <row r="13" spans="1:56" x14ac:dyDescent="0.2">
      <c r="A13" s="41">
        <v>12</v>
      </c>
      <c r="C13" s="17"/>
      <c r="D13" s="37">
        <v>1</v>
      </c>
      <c r="E13" s="22" t="s">
        <v>2</v>
      </c>
      <c r="F13" s="37"/>
      <c r="G13" s="37"/>
      <c r="H13" s="37"/>
      <c r="I13" s="22">
        <v>0</v>
      </c>
      <c r="J13" s="13">
        <v>0</v>
      </c>
      <c r="K13">
        <v>2</v>
      </c>
      <c r="L13">
        <v>9</v>
      </c>
      <c r="M13">
        <v>5</v>
      </c>
      <c r="N13">
        <v>6</v>
      </c>
      <c r="O13">
        <v>7</v>
      </c>
      <c r="P13">
        <v>8</v>
      </c>
      <c r="Q13">
        <v>3</v>
      </c>
      <c r="R13">
        <v>10</v>
      </c>
      <c r="S13">
        <v>1</v>
      </c>
      <c r="T13">
        <v>4</v>
      </c>
      <c r="U13" s="18"/>
      <c r="W13" s="17"/>
      <c r="X13" s="54" t="s">
        <v>45</v>
      </c>
      <c r="Y13" s="54" cm="1">
        <f t="array" aca="1" ref="Y13:AC13" ca="1">TRANSPOSE(INDEX(_xlfn.SORTBY(_xlfn.SEQUENCE(F4,1,0,1),_xlfn.RANDARRAY(F4)),_xlfn.SEQUENCE(batch)))</f>
        <v>2</v>
      </c>
      <c r="Z13" s="54">
        <f ca="1"/>
        <v>8</v>
      </c>
      <c r="AA13" s="54">
        <f ca="1"/>
        <v>6</v>
      </c>
      <c r="AB13" s="54">
        <f ca="1"/>
        <v>9</v>
      </c>
      <c r="AC13" s="54">
        <f ca="1"/>
        <v>7</v>
      </c>
      <c r="AD13" s="58"/>
      <c r="AF13">
        <v>2</v>
      </c>
      <c r="AG13">
        <v>9</v>
      </c>
      <c r="AH13">
        <v>5</v>
      </c>
      <c r="AI13">
        <v>6</v>
      </c>
      <c r="AJ13">
        <v>7</v>
      </c>
      <c r="AK13">
        <v>8</v>
      </c>
      <c r="AL13">
        <v>3</v>
      </c>
      <c r="AM13">
        <v>10</v>
      </c>
      <c r="AN13">
        <v>1</v>
      </c>
      <c r="AO13">
        <v>4</v>
      </c>
    </row>
    <row r="14" spans="1:56" x14ac:dyDescent="0.2">
      <c r="A14" s="41">
        <v>13</v>
      </c>
      <c r="C14" s="17"/>
      <c r="D14" s="37">
        <v>2</v>
      </c>
      <c r="E14" s="22" t="s">
        <v>3</v>
      </c>
      <c r="F14" s="37"/>
      <c r="G14" s="37"/>
      <c r="H14" s="37"/>
      <c r="I14" s="22">
        <v>1</v>
      </c>
      <c r="J14" s="13">
        <v>0</v>
      </c>
      <c r="K14">
        <v>2</v>
      </c>
      <c r="L14">
        <v>1</v>
      </c>
      <c r="M14">
        <v>9</v>
      </c>
      <c r="N14">
        <v>4</v>
      </c>
      <c r="O14">
        <v>8</v>
      </c>
      <c r="P14">
        <v>10</v>
      </c>
      <c r="Q14">
        <v>3</v>
      </c>
      <c r="R14">
        <v>7</v>
      </c>
      <c r="S14">
        <v>5</v>
      </c>
      <c r="T14">
        <v>6</v>
      </c>
      <c r="U14" s="18"/>
      <c r="W14" s="17"/>
      <c r="X14" s="54" t="s">
        <v>46</v>
      </c>
      <c r="Y14" s="54" cm="1">
        <f t="array" aca="1" ref="Y14:AC14" ca="1">TRANSPOSE(INDEX(_xlfn.SORTBY(_xlfn.SEQUENCE(G4,1,0,1),_xlfn.RANDARRAY(G4)),_xlfn.SEQUENCE(batch)))</f>
        <v>9</v>
      </c>
      <c r="Z14" s="54">
        <f ca="1"/>
        <v>6</v>
      </c>
      <c r="AA14" s="54">
        <f ca="1"/>
        <v>4</v>
      </c>
      <c r="AB14" s="54">
        <f ca="1"/>
        <v>8</v>
      </c>
      <c r="AC14" s="54">
        <f ca="1"/>
        <v>1</v>
      </c>
      <c r="AD14" s="58"/>
      <c r="AF14">
        <v>2</v>
      </c>
      <c r="AG14">
        <v>1</v>
      </c>
      <c r="AH14">
        <v>9</v>
      </c>
      <c r="AI14">
        <v>4</v>
      </c>
      <c r="AJ14">
        <v>8</v>
      </c>
      <c r="AK14">
        <v>10</v>
      </c>
      <c r="AL14">
        <v>3</v>
      </c>
      <c r="AM14">
        <v>7</v>
      </c>
      <c r="AN14">
        <v>5</v>
      </c>
      <c r="AO14">
        <v>6</v>
      </c>
    </row>
    <row r="15" spans="1:56" x14ac:dyDescent="0.2">
      <c r="A15" s="41">
        <v>14</v>
      </c>
      <c r="C15" s="17"/>
      <c r="D15" s="37">
        <v>3</v>
      </c>
      <c r="E15" s="22" t="s">
        <v>4</v>
      </c>
      <c r="F15" s="37"/>
      <c r="G15" s="37"/>
      <c r="H15" s="37"/>
      <c r="I15" s="22">
        <v>2</v>
      </c>
      <c r="J15" s="13">
        <v>0</v>
      </c>
      <c r="K15">
        <v>8</v>
      </c>
      <c r="L15">
        <v>10</v>
      </c>
      <c r="M15">
        <v>6</v>
      </c>
      <c r="N15">
        <v>9</v>
      </c>
      <c r="O15">
        <v>7</v>
      </c>
      <c r="P15">
        <v>3</v>
      </c>
      <c r="Q15">
        <v>5</v>
      </c>
      <c r="R15">
        <v>2</v>
      </c>
      <c r="S15">
        <v>1</v>
      </c>
      <c r="T15">
        <v>4</v>
      </c>
      <c r="U15" s="18"/>
      <c r="W15" s="19"/>
      <c r="X15" s="60"/>
      <c r="Y15" s="60"/>
      <c r="Z15" s="60"/>
      <c r="AA15" s="60"/>
      <c r="AB15" s="60"/>
      <c r="AC15" s="60"/>
      <c r="AD15" s="61"/>
      <c r="AF15">
        <v>8</v>
      </c>
      <c r="AG15">
        <v>10</v>
      </c>
      <c r="AH15">
        <v>6</v>
      </c>
      <c r="AI15">
        <v>9</v>
      </c>
      <c r="AJ15">
        <v>7</v>
      </c>
      <c r="AK15">
        <v>3</v>
      </c>
      <c r="AL15">
        <v>5</v>
      </c>
      <c r="AM15">
        <v>2</v>
      </c>
      <c r="AN15">
        <v>1</v>
      </c>
      <c r="AO15">
        <v>4</v>
      </c>
    </row>
    <row r="16" spans="1:56" x14ac:dyDescent="0.2">
      <c r="A16" s="41">
        <v>15</v>
      </c>
      <c r="C16" s="17"/>
      <c r="D16" s="37">
        <v>4</v>
      </c>
      <c r="E16" s="22" t="s">
        <v>5</v>
      </c>
      <c r="F16" s="37"/>
      <c r="G16" s="37"/>
      <c r="H16" s="37"/>
      <c r="I16" s="22">
        <v>3</v>
      </c>
      <c r="J16" s="13">
        <v>0</v>
      </c>
      <c r="K16">
        <v>6</v>
      </c>
      <c r="L16">
        <v>2</v>
      </c>
      <c r="M16">
        <v>3</v>
      </c>
      <c r="N16">
        <v>1</v>
      </c>
      <c r="O16">
        <v>5</v>
      </c>
      <c r="P16">
        <v>7</v>
      </c>
      <c r="Q16">
        <v>9</v>
      </c>
      <c r="R16">
        <v>8</v>
      </c>
      <c r="S16">
        <v>10</v>
      </c>
      <c r="T16">
        <v>4</v>
      </c>
      <c r="U16" s="18"/>
      <c r="AF16">
        <v>6</v>
      </c>
      <c r="AG16">
        <v>2</v>
      </c>
      <c r="AH16">
        <v>3</v>
      </c>
      <c r="AI16">
        <v>1</v>
      </c>
      <c r="AJ16">
        <v>5</v>
      </c>
      <c r="AK16">
        <v>7</v>
      </c>
      <c r="AL16">
        <v>9</v>
      </c>
      <c r="AM16">
        <v>8</v>
      </c>
      <c r="AN16">
        <v>10</v>
      </c>
      <c r="AO16">
        <v>4</v>
      </c>
    </row>
    <row r="17" spans="1:41" x14ac:dyDescent="0.2">
      <c r="A17" s="41">
        <v>16</v>
      </c>
      <c r="C17" s="17"/>
      <c r="D17" s="37">
        <v>5</v>
      </c>
      <c r="E17" s="22" t="s">
        <v>6</v>
      </c>
      <c r="F17" s="37"/>
      <c r="G17" s="37"/>
      <c r="H17" s="37"/>
      <c r="I17" s="22">
        <v>4</v>
      </c>
      <c r="J17" s="13">
        <v>0</v>
      </c>
      <c r="K17">
        <v>3</v>
      </c>
      <c r="L17">
        <v>9</v>
      </c>
      <c r="M17">
        <v>6</v>
      </c>
      <c r="N17">
        <v>4</v>
      </c>
      <c r="O17">
        <v>8</v>
      </c>
      <c r="P17">
        <v>2</v>
      </c>
      <c r="Q17">
        <v>5</v>
      </c>
      <c r="R17">
        <v>1</v>
      </c>
      <c r="S17">
        <v>7</v>
      </c>
      <c r="T17">
        <v>10</v>
      </c>
      <c r="U17" s="18"/>
      <c r="AF17">
        <v>3</v>
      </c>
      <c r="AG17">
        <v>9</v>
      </c>
      <c r="AH17">
        <v>6</v>
      </c>
      <c r="AI17">
        <v>4</v>
      </c>
      <c r="AJ17">
        <v>8</v>
      </c>
      <c r="AK17">
        <v>2</v>
      </c>
      <c r="AL17">
        <v>5</v>
      </c>
      <c r="AM17">
        <v>1</v>
      </c>
      <c r="AN17">
        <v>7</v>
      </c>
      <c r="AO17">
        <v>10</v>
      </c>
    </row>
    <row r="18" spans="1:41" x14ac:dyDescent="0.2">
      <c r="A18" s="41">
        <v>17</v>
      </c>
      <c r="C18" s="17"/>
      <c r="D18" s="37">
        <v>6</v>
      </c>
      <c r="E18" s="22" t="s">
        <v>8</v>
      </c>
      <c r="F18" s="37"/>
      <c r="G18" s="37"/>
      <c r="H18" s="37"/>
      <c r="I18" s="22">
        <v>5</v>
      </c>
      <c r="J18" s="13">
        <v>0</v>
      </c>
      <c r="K18">
        <v>7</v>
      </c>
      <c r="L18">
        <v>2</v>
      </c>
      <c r="M18">
        <v>5</v>
      </c>
      <c r="N18">
        <v>10</v>
      </c>
      <c r="O18">
        <v>1</v>
      </c>
      <c r="P18">
        <v>3</v>
      </c>
      <c r="Q18">
        <v>8</v>
      </c>
      <c r="R18">
        <v>6</v>
      </c>
      <c r="S18">
        <v>4</v>
      </c>
      <c r="T18">
        <v>9</v>
      </c>
      <c r="U18" s="18"/>
      <c r="AF18">
        <v>7</v>
      </c>
      <c r="AG18">
        <v>2</v>
      </c>
      <c r="AH18">
        <v>5</v>
      </c>
      <c r="AI18">
        <v>10</v>
      </c>
      <c r="AJ18">
        <v>1</v>
      </c>
      <c r="AK18">
        <v>3</v>
      </c>
      <c r="AL18">
        <v>8</v>
      </c>
      <c r="AM18">
        <v>6</v>
      </c>
      <c r="AN18">
        <v>4</v>
      </c>
      <c r="AO18">
        <v>9</v>
      </c>
    </row>
    <row r="19" spans="1:41" x14ac:dyDescent="0.2">
      <c r="A19" s="41">
        <v>18</v>
      </c>
      <c r="C19" s="17"/>
      <c r="D19" s="37">
        <v>7</v>
      </c>
      <c r="E19" s="22" t="s">
        <v>9</v>
      </c>
      <c r="F19" s="37"/>
      <c r="G19" s="37"/>
      <c r="H19" s="37"/>
      <c r="I19" s="22">
        <v>6</v>
      </c>
      <c r="J19" s="13">
        <v>0</v>
      </c>
      <c r="K19">
        <v>7</v>
      </c>
      <c r="L19">
        <v>10</v>
      </c>
      <c r="M19">
        <v>6</v>
      </c>
      <c r="N19">
        <v>5</v>
      </c>
      <c r="O19">
        <v>4</v>
      </c>
      <c r="P19">
        <v>9</v>
      </c>
      <c r="Q19">
        <v>8</v>
      </c>
      <c r="R19">
        <v>1</v>
      </c>
      <c r="S19">
        <v>2</v>
      </c>
      <c r="T19">
        <v>3</v>
      </c>
      <c r="U19" s="18"/>
      <c r="AF19">
        <v>7</v>
      </c>
      <c r="AG19">
        <v>10</v>
      </c>
      <c r="AH19">
        <v>6</v>
      </c>
      <c r="AI19">
        <v>5</v>
      </c>
      <c r="AJ19">
        <v>4</v>
      </c>
      <c r="AK19">
        <v>9</v>
      </c>
      <c r="AL19">
        <v>8</v>
      </c>
      <c r="AM19">
        <v>1</v>
      </c>
      <c r="AN19">
        <v>2</v>
      </c>
      <c r="AO19">
        <v>3</v>
      </c>
    </row>
    <row r="20" spans="1:41" x14ac:dyDescent="0.2">
      <c r="A20" s="41">
        <v>19</v>
      </c>
      <c r="C20" s="17"/>
      <c r="D20" s="37">
        <v>8</v>
      </c>
      <c r="E20" s="22" t="s">
        <v>10</v>
      </c>
      <c r="F20" s="37"/>
      <c r="G20" s="37"/>
      <c r="H20" s="37"/>
      <c r="I20" s="22">
        <v>7</v>
      </c>
      <c r="J20" s="13">
        <v>0</v>
      </c>
      <c r="K20">
        <v>3</v>
      </c>
      <c r="L20">
        <v>1</v>
      </c>
      <c r="M20">
        <v>6</v>
      </c>
      <c r="N20">
        <v>4</v>
      </c>
      <c r="O20">
        <v>2</v>
      </c>
      <c r="P20">
        <v>9</v>
      </c>
      <c r="Q20">
        <v>8</v>
      </c>
      <c r="R20">
        <v>7</v>
      </c>
      <c r="S20">
        <v>5</v>
      </c>
      <c r="T20">
        <v>10</v>
      </c>
      <c r="U20" s="18"/>
      <c r="AF20">
        <v>3</v>
      </c>
      <c r="AG20">
        <v>1</v>
      </c>
      <c r="AH20">
        <v>6</v>
      </c>
      <c r="AI20">
        <v>4</v>
      </c>
      <c r="AJ20">
        <v>2</v>
      </c>
      <c r="AK20">
        <v>9</v>
      </c>
      <c r="AL20">
        <v>8</v>
      </c>
      <c r="AM20">
        <v>7</v>
      </c>
      <c r="AN20">
        <v>5</v>
      </c>
      <c r="AO20">
        <v>10</v>
      </c>
    </row>
    <row r="21" spans="1:41" x14ac:dyDescent="0.2">
      <c r="A21" s="41">
        <v>20</v>
      </c>
      <c r="C21" s="17"/>
      <c r="D21" s="37">
        <v>9</v>
      </c>
      <c r="E21" s="22" t="s">
        <v>11</v>
      </c>
      <c r="F21" s="37"/>
      <c r="G21" s="37"/>
      <c r="H21" s="37"/>
      <c r="I21" s="22">
        <v>8</v>
      </c>
      <c r="J21" s="13">
        <v>0</v>
      </c>
      <c r="K21">
        <v>8</v>
      </c>
      <c r="L21">
        <v>2</v>
      </c>
      <c r="M21">
        <v>7</v>
      </c>
      <c r="N21">
        <v>6</v>
      </c>
      <c r="O21">
        <v>5</v>
      </c>
      <c r="P21">
        <v>9</v>
      </c>
      <c r="Q21">
        <v>4</v>
      </c>
      <c r="R21">
        <v>3</v>
      </c>
      <c r="S21">
        <v>10</v>
      </c>
      <c r="T21">
        <v>1</v>
      </c>
      <c r="U21" s="18"/>
      <c r="AF21">
        <v>8</v>
      </c>
      <c r="AG21">
        <v>2</v>
      </c>
      <c r="AH21">
        <v>7</v>
      </c>
      <c r="AI21">
        <v>6</v>
      </c>
      <c r="AJ21">
        <v>5</v>
      </c>
      <c r="AK21">
        <v>9</v>
      </c>
      <c r="AL21">
        <v>4</v>
      </c>
      <c r="AM21">
        <v>3</v>
      </c>
      <c r="AN21">
        <v>10</v>
      </c>
      <c r="AO21">
        <v>1</v>
      </c>
    </row>
    <row r="22" spans="1:41" x14ac:dyDescent="0.2">
      <c r="A22" s="41">
        <v>21</v>
      </c>
      <c r="C22" s="17"/>
      <c r="D22" s="37">
        <v>10</v>
      </c>
      <c r="E22" s="22" t="s">
        <v>13</v>
      </c>
      <c r="F22" s="37"/>
      <c r="G22" s="37"/>
      <c r="H22" s="37"/>
      <c r="I22" s="22">
        <v>9</v>
      </c>
      <c r="J22" s="13">
        <v>0</v>
      </c>
      <c r="K22">
        <v>10</v>
      </c>
      <c r="L22">
        <v>5</v>
      </c>
      <c r="M22">
        <v>7</v>
      </c>
      <c r="N22">
        <v>2</v>
      </c>
      <c r="O22">
        <v>3</v>
      </c>
      <c r="P22">
        <v>6</v>
      </c>
      <c r="Q22">
        <v>9</v>
      </c>
      <c r="R22">
        <v>8</v>
      </c>
      <c r="S22">
        <v>4</v>
      </c>
      <c r="T22">
        <v>1</v>
      </c>
      <c r="U22" s="18"/>
      <c r="AF22">
        <v>10</v>
      </c>
      <c r="AG22">
        <v>5</v>
      </c>
      <c r="AH22">
        <v>7</v>
      </c>
      <c r="AI22">
        <v>2</v>
      </c>
      <c r="AJ22">
        <v>3</v>
      </c>
      <c r="AK22">
        <v>6</v>
      </c>
      <c r="AL22">
        <v>9</v>
      </c>
      <c r="AM22">
        <v>8</v>
      </c>
      <c r="AN22">
        <v>4</v>
      </c>
      <c r="AO22">
        <v>1</v>
      </c>
    </row>
    <row r="23" spans="1:41" x14ac:dyDescent="0.2">
      <c r="A23" s="41">
        <v>22</v>
      </c>
      <c r="C23" s="19"/>
      <c r="D23" s="20"/>
      <c r="E23" s="20"/>
      <c r="F23" s="20"/>
      <c r="G23" s="20"/>
      <c r="H23" s="2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  <row r="24" spans="1:41" x14ac:dyDescent="0.2">
      <c r="A24" s="41">
        <v>23</v>
      </c>
    </row>
    <row r="25" spans="1:41" x14ac:dyDescent="0.2">
      <c r="A25" s="41">
        <v>24</v>
      </c>
      <c r="C25" s="23" t="s">
        <v>24</v>
      </c>
      <c r="J25" s="23" t="s">
        <v>38</v>
      </c>
      <c r="M25" s="23"/>
    </row>
    <row r="26" spans="1:41" x14ac:dyDescent="0.2">
      <c r="A26" s="41">
        <v>25</v>
      </c>
      <c r="C26" s="34" t="s">
        <v>37</v>
      </c>
      <c r="D26" s="16"/>
      <c r="E26" s="34" t="s">
        <v>36</v>
      </c>
      <c r="F26" s="16"/>
      <c r="J26" s="34" t="s">
        <v>37</v>
      </c>
      <c r="K26" s="15"/>
      <c r="L26" s="15"/>
      <c r="M26" s="34" t="s">
        <v>62</v>
      </c>
      <c r="N26" s="15"/>
      <c r="O26" s="16"/>
      <c r="P26" s="34" t="s">
        <v>36</v>
      </c>
      <c r="Q26" s="15"/>
      <c r="R26" s="16"/>
    </row>
    <row r="27" spans="1:41" x14ac:dyDescent="0.2">
      <c r="A27" s="41">
        <v>26</v>
      </c>
      <c r="C27" s="17" t="s">
        <v>0</v>
      </c>
      <c r="D27" s="18"/>
      <c r="E27" s="17"/>
      <c r="F27" s="18"/>
      <c r="J27" s="33"/>
      <c r="M27" s="17"/>
      <c r="O27" s="18"/>
      <c r="P27" s="17"/>
      <c r="R27" s="18"/>
    </row>
    <row r="28" spans="1:41" x14ac:dyDescent="0.2">
      <c r="A28" s="41">
        <v>27</v>
      </c>
      <c r="C28" s="17" t="s">
        <v>25</v>
      </c>
      <c r="D28" s="18"/>
      <c r="E28" s="17" t="s">
        <v>52</v>
      </c>
      <c r="F28" s="18"/>
      <c r="J28" s="17" t="s">
        <v>31</v>
      </c>
      <c r="M28" s="17" t="s">
        <v>61</v>
      </c>
      <c r="O28" s="18"/>
      <c r="P28" s="17"/>
      <c r="R28" s="18"/>
    </row>
    <row r="29" spans="1:41" x14ac:dyDescent="0.2">
      <c r="A29" s="41">
        <v>28</v>
      </c>
      <c r="C29" s="19"/>
      <c r="D29" s="21"/>
      <c r="E29" s="19"/>
      <c r="F29" s="21"/>
      <c r="J29" s="17" t="s">
        <v>34</v>
      </c>
      <c r="M29" s="17" t="s">
        <v>16</v>
      </c>
      <c r="O29" s="18"/>
      <c r="P29" s="17" t="s">
        <v>34</v>
      </c>
      <c r="R29" s="18"/>
    </row>
    <row r="30" spans="1:41" x14ac:dyDescent="0.2">
      <c r="A30" s="41">
        <v>29</v>
      </c>
      <c r="J30" s="17" t="s">
        <v>17</v>
      </c>
      <c r="M30" s="17" t="s">
        <v>17</v>
      </c>
      <c r="O30" s="18"/>
      <c r="P30" s="17" t="s">
        <v>35</v>
      </c>
      <c r="R30" s="18"/>
    </row>
    <row r="31" spans="1:41" x14ac:dyDescent="0.2">
      <c r="A31" s="41">
        <v>30</v>
      </c>
      <c r="J31" s="17" t="s">
        <v>19</v>
      </c>
      <c r="M31" s="17" t="s">
        <v>19</v>
      </c>
      <c r="O31" s="18"/>
      <c r="P31" s="17" t="s">
        <v>35</v>
      </c>
      <c r="R31" s="18"/>
    </row>
    <row r="32" spans="1:41" x14ac:dyDescent="0.2">
      <c r="A32" s="41">
        <v>31</v>
      </c>
      <c r="C32" s="23" t="s">
        <v>26</v>
      </c>
      <c r="J32" s="17" t="s">
        <v>20</v>
      </c>
      <c r="M32" s="17" t="s">
        <v>20</v>
      </c>
      <c r="O32" s="18"/>
      <c r="P32" s="17" t="s">
        <v>35</v>
      </c>
      <c r="R32" s="18"/>
    </row>
    <row r="33" spans="1:18" x14ac:dyDescent="0.2">
      <c r="A33" s="41">
        <v>32</v>
      </c>
      <c r="C33" s="34" t="s">
        <v>37</v>
      </c>
      <c r="D33" s="15"/>
      <c r="E33" s="34" t="s">
        <v>36</v>
      </c>
      <c r="F33" s="16"/>
      <c r="J33" s="17" t="s">
        <v>18</v>
      </c>
      <c r="M33" s="17" t="s">
        <v>18</v>
      </c>
      <c r="O33" s="18"/>
      <c r="P33" s="17" t="s">
        <v>35</v>
      </c>
      <c r="R33" s="18"/>
    </row>
    <row r="34" spans="1:18" x14ac:dyDescent="0.2">
      <c r="A34" s="41">
        <v>33</v>
      </c>
      <c r="C34" s="17" t="s">
        <v>1</v>
      </c>
      <c r="E34" s="17"/>
      <c r="F34" s="18"/>
      <c r="J34" s="17" t="s">
        <v>21</v>
      </c>
      <c r="M34" s="17" t="s">
        <v>59</v>
      </c>
      <c r="O34" s="18"/>
      <c r="P34" s="17" t="s">
        <v>41</v>
      </c>
      <c r="R34" s="18"/>
    </row>
    <row r="35" spans="1:18" x14ac:dyDescent="0.2">
      <c r="A35" s="41">
        <v>34</v>
      </c>
      <c r="C35" s="17" t="s">
        <v>43</v>
      </c>
      <c r="E35" s="17"/>
      <c r="F35" s="18"/>
      <c r="J35" s="17" t="s">
        <v>22</v>
      </c>
      <c r="M35" s="17" t="s">
        <v>60</v>
      </c>
      <c r="O35" s="18"/>
      <c r="P35" s="17" t="s">
        <v>41</v>
      </c>
      <c r="R35" s="18"/>
    </row>
    <row r="36" spans="1:18" x14ac:dyDescent="0.2">
      <c r="A36" s="41">
        <v>35</v>
      </c>
      <c r="C36" s="17" t="s">
        <v>27</v>
      </c>
      <c r="E36" s="17" t="s">
        <v>52</v>
      </c>
      <c r="F36" s="18"/>
      <c r="J36" s="17" t="s">
        <v>23</v>
      </c>
      <c r="M36" s="17" t="s">
        <v>23</v>
      </c>
      <c r="O36" s="18"/>
      <c r="P36" s="17" t="s">
        <v>41</v>
      </c>
      <c r="R36" s="18"/>
    </row>
    <row r="37" spans="1:18" x14ac:dyDescent="0.2">
      <c r="A37" s="41">
        <v>36</v>
      </c>
      <c r="C37" s="17" t="s">
        <v>44</v>
      </c>
      <c r="E37" s="17" t="s">
        <v>28</v>
      </c>
      <c r="F37" s="18"/>
      <c r="J37" s="17" t="s">
        <v>77</v>
      </c>
      <c r="M37" s="17" t="s">
        <v>42</v>
      </c>
      <c r="O37" s="18"/>
      <c r="P37" s="17" t="s">
        <v>41</v>
      </c>
      <c r="R37" s="18"/>
    </row>
    <row r="38" spans="1:18" x14ac:dyDescent="0.2">
      <c r="A38" s="41">
        <v>37</v>
      </c>
      <c r="C38" s="19"/>
      <c r="D38" s="20"/>
      <c r="E38" s="19" t="s">
        <v>29</v>
      </c>
      <c r="F38" s="21"/>
      <c r="J38" s="19" t="s">
        <v>50</v>
      </c>
      <c r="K38" s="20"/>
      <c r="L38" s="20"/>
      <c r="M38" s="19" t="s">
        <v>50</v>
      </c>
      <c r="N38" s="20"/>
      <c r="O38" s="21"/>
      <c r="P38" s="19" t="s">
        <v>51</v>
      </c>
      <c r="Q38" s="20"/>
      <c r="R38" s="21"/>
    </row>
    <row r="39" spans="1:18" x14ac:dyDescent="0.2">
      <c r="A39" s="41">
        <v>38</v>
      </c>
    </row>
    <row r="40" spans="1:18" x14ac:dyDescent="0.2">
      <c r="A40" s="41">
        <v>39</v>
      </c>
    </row>
    <row r="41" spans="1:18" x14ac:dyDescent="0.2">
      <c r="A41" s="41">
        <v>40</v>
      </c>
    </row>
    <row r="42" spans="1:18" x14ac:dyDescent="0.2">
      <c r="A42" s="41">
        <v>41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ACF5-0E25-2646-80F2-EDB14C146934}">
  <dimension ref="A1:BE122"/>
  <sheetViews>
    <sheetView showGridLines="0" tabSelected="1" topLeftCell="B1" zoomScale="61" zoomScaleNormal="68" workbookViewId="0">
      <pane ySplit="1" topLeftCell="A67" activePane="bottomLeft" state="frozen"/>
      <selection pane="bottomLeft" activeCell="AE23" sqref="AE23"/>
    </sheetView>
  </sheetViews>
  <sheetFormatPr baseColWidth="10" defaultColWidth="3.83203125" defaultRowHeight="20" customHeight="1" x14ac:dyDescent="0.2"/>
  <cols>
    <col min="1" max="1" width="4" style="41" bestFit="1" customWidth="1"/>
    <col min="2" max="3" width="3.83203125" style="41"/>
    <col min="4" max="4" width="3.83203125" style="41" customWidth="1"/>
    <col min="5" max="8" width="4" style="41" bestFit="1" customWidth="1"/>
    <col min="9" max="9" width="3.83203125" style="41"/>
    <col min="10" max="14" width="4" style="41" bestFit="1" customWidth="1"/>
    <col min="15" max="15" width="3.83203125" style="41"/>
    <col min="16" max="19" width="4" style="41" bestFit="1" customWidth="1"/>
    <col min="20" max="20" width="3.83203125" style="41" customWidth="1"/>
    <col min="21" max="29" width="3.83203125" style="41"/>
    <col min="30" max="30" width="3.83203125" style="41" customWidth="1"/>
    <col min="31" max="33" width="4" style="41" bestFit="1" customWidth="1"/>
    <col min="34" max="34" width="4.1640625" style="41" bestFit="1" customWidth="1"/>
    <col min="35" max="35" width="3.83203125" style="41"/>
    <col min="36" max="36" width="3.83203125" style="41" customWidth="1"/>
    <col min="37" max="40" width="4" style="41" bestFit="1" customWidth="1"/>
    <col min="41" max="41" width="3.83203125" style="41"/>
    <col min="42" max="46" width="4" style="41" bestFit="1" customWidth="1"/>
    <col min="47" max="47" width="3.83203125" style="41"/>
    <col min="48" max="52" width="4" style="41" bestFit="1" customWidth="1"/>
    <col min="53" max="16384" width="3.83203125" style="41"/>
  </cols>
  <sheetData>
    <row r="1" spans="1:56" ht="20" customHeight="1" x14ac:dyDescent="0.2">
      <c r="A1" s="41">
        <v>0</v>
      </c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>
        <v>13</v>
      </c>
      <c r="O1" s="41">
        <v>14</v>
      </c>
      <c r="P1" s="41">
        <v>15</v>
      </c>
      <c r="Q1" s="41">
        <v>16</v>
      </c>
      <c r="R1" s="41">
        <v>17</v>
      </c>
      <c r="S1" s="41">
        <v>18</v>
      </c>
      <c r="T1" s="41">
        <v>19</v>
      </c>
      <c r="U1" s="41">
        <v>20</v>
      </c>
      <c r="V1" s="41">
        <v>21</v>
      </c>
      <c r="W1" s="41">
        <v>22</v>
      </c>
      <c r="X1" s="41">
        <v>23</v>
      </c>
      <c r="Y1" s="41">
        <v>24</v>
      </c>
      <c r="Z1" s="41">
        <v>25</v>
      </c>
      <c r="AA1" s="41">
        <v>26</v>
      </c>
      <c r="AB1" s="41">
        <v>27</v>
      </c>
      <c r="AC1" s="41">
        <v>28</v>
      </c>
      <c r="AD1" s="41">
        <v>29</v>
      </c>
      <c r="AE1" s="41">
        <v>30</v>
      </c>
      <c r="AF1" s="41">
        <v>31</v>
      </c>
      <c r="AG1" s="41">
        <v>32</v>
      </c>
      <c r="AH1" s="41">
        <v>33</v>
      </c>
      <c r="AI1" s="41">
        <v>34</v>
      </c>
      <c r="AJ1" s="41">
        <v>35</v>
      </c>
      <c r="AK1" s="41">
        <v>36</v>
      </c>
      <c r="AL1" s="41">
        <v>37</v>
      </c>
      <c r="AM1" s="41">
        <v>38</v>
      </c>
      <c r="AN1" s="41">
        <v>39</v>
      </c>
      <c r="AO1" s="41">
        <v>40</v>
      </c>
      <c r="AP1" s="41">
        <v>41</v>
      </c>
      <c r="AQ1" s="41">
        <v>42</v>
      </c>
      <c r="AR1" s="41">
        <v>43</v>
      </c>
      <c r="AS1" s="41">
        <v>44</v>
      </c>
      <c r="AT1" s="41">
        <v>45</v>
      </c>
      <c r="AU1" s="41">
        <v>46</v>
      </c>
      <c r="AV1" s="41">
        <v>47</v>
      </c>
      <c r="AW1" s="41">
        <v>48</v>
      </c>
      <c r="AX1" s="41">
        <v>49</v>
      </c>
      <c r="AY1" s="41">
        <v>50</v>
      </c>
      <c r="AZ1" s="41">
        <v>51</v>
      </c>
      <c r="BA1" s="41">
        <v>52</v>
      </c>
      <c r="BB1" s="41">
        <v>53</v>
      </c>
      <c r="BC1" s="41">
        <v>54</v>
      </c>
      <c r="BD1" s="41">
        <v>55</v>
      </c>
    </row>
    <row r="2" spans="1:56" ht="20" customHeight="1" x14ac:dyDescent="0.2">
      <c r="A2" s="41">
        <v>1</v>
      </c>
      <c r="C2" s="41" t="s">
        <v>53</v>
      </c>
      <c r="D2" s="41">
        <v>5</v>
      </c>
    </row>
    <row r="3" spans="1:56" ht="20" customHeight="1" x14ac:dyDescent="0.2">
      <c r="A3" s="41">
        <v>2</v>
      </c>
      <c r="C3" s="41" t="s">
        <v>69</v>
      </c>
      <c r="D3" s="41">
        <v>25</v>
      </c>
      <c r="E3" s="41">
        <v>4</v>
      </c>
      <c r="F3" s="41">
        <v>6</v>
      </c>
      <c r="G3" s="41">
        <v>9</v>
      </c>
      <c r="L3" s="42"/>
      <c r="N3" s="42"/>
    </row>
    <row r="4" spans="1:56" ht="20" customHeight="1" x14ac:dyDescent="0.2">
      <c r="A4" s="41">
        <v>3</v>
      </c>
    </row>
    <row r="5" spans="1:56" ht="20" customHeight="1" x14ac:dyDescent="0.2">
      <c r="A5" s="41">
        <v>4</v>
      </c>
      <c r="C5" s="41" t="s">
        <v>45</v>
      </c>
      <c r="D5" s="41">
        <v>9</v>
      </c>
      <c r="I5" s="41">
        <v>3</v>
      </c>
      <c r="N5" s="41">
        <v>6</v>
      </c>
      <c r="S5" s="41">
        <v>8</v>
      </c>
      <c r="X5" s="41">
        <v>5</v>
      </c>
    </row>
    <row r="6" spans="1:56" ht="20" customHeight="1" thickBot="1" x14ac:dyDescent="0.25">
      <c r="A6" s="41">
        <v>5</v>
      </c>
      <c r="C6" s="41" t="s">
        <v>46</v>
      </c>
      <c r="D6" s="41">
        <v>7</v>
      </c>
      <c r="I6" s="41">
        <v>4</v>
      </c>
      <c r="N6" s="41">
        <v>7</v>
      </c>
      <c r="S6" s="41">
        <v>2</v>
      </c>
      <c r="X6" s="41">
        <v>3</v>
      </c>
    </row>
    <row r="7" spans="1:56" ht="20" customHeight="1" x14ac:dyDescent="0.2">
      <c r="A7" s="41">
        <v>6</v>
      </c>
      <c r="D7" s="45" cm="1">
        <f t="array" aca="1" ref="D7:H11" ca="1">OFFSET(tinyDigits!C4,7*D5,7*D6,Helper!$H$4,Helper!$I$4)</f>
        <v>0</v>
      </c>
      <c r="E7" s="46">
        <f ca="1"/>
        <v>0.18342546386617398</v>
      </c>
      <c r="F7" s="46">
        <f ca="1"/>
        <v>1</v>
      </c>
      <c r="G7" s="46">
        <f ca="1"/>
        <v>1</v>
      </c>
      <c r="H7" s="47">
        <f ca="1"/>
        <v>1</v>
      </c>
      <c r="I7" s="45" cm="1">
        <f t="array" aca="1" ref="I7:M11" ca="1">OFFSET(tinyDigits!C4,7*I5,7*I6,Helper!$H$4,Helper!$I$4)</f>
        <v>0.22913279859693936</v>
      </c>
      <c r="J7" s="46">
        <f ca="1"/>
        <v>1</v>
      </c>
      <c r="K7" s="46">
        <f ca="1"/>
        <v>1</v>
      </c>
      <c r="L7" s="46">
        <f ca="1"/>
        <v>1</v>
      </c>
      <c r="M7" s="47">
        <f ca="1"/>
        <v>0.45498378577616527</v>
      </c>
      <c r="N7" s="45" cm="1">
        <f t="array" aca="1" ref="N7:R11" ca="1">OFFSET(tinyDigits!C4,7*N5,7*N6,Helper!$H$4,Helper!$I$4)</f>
        <v>1</v>
      </c>
      <c r="O7" s="46">
        <f ca="1"/>
        <v>1</v>
      </c>
      <c r="P7" s="46">
        <f ca="1"/>
        <v>1</v>
      </c>
      <c r="Q7" s="46">
        <f ca="1"/>
        <v>0.27526416611450932</v>
      </c>
      <c r="R7" s="47">
        <f ca="1"/>
        <v>0</v>
      </c>
      <c r="S7" s="45" cm="1">
        <f t="array" aca="1" ref="S7:W11" ca="1">OFFSET(tinyDigits!C4,7*S5,7*S6,Helper!$H$4,Helper!$I$4)</f>
        <v>0.39234062054446517</v>
      </c>
      <c r="T7" s="46">
        <f ca="1"/>
        <v>1</v>
      </c>
      <c r="U7" s="46">
        <f ca="1"/>
        <v>1</v>
      </c>
      <c r="V7" s="46">
        <f ca="1"/>
        <v>1</v>
      </c>
      <c r="W7" s="47">
        <f ca="1"/>
        <v>0.51859300964167188</v>
      </c>
      <c r="X7" s="45" cm="1">
        <f t="array" aca="1" ref="X7:AB11" ca="1">OFFSET(tinyDigits!C4,7*X5,7*X6,Helper!$H$4,Helper!$I$4)</f>
        <v>0.23057421397337907</v>
      </c>
      <c r="Y7" s="46">
        <f ca="1"/>
        <v>0.51323825156367442</v>
      </c>
      <c r="Z7" s="46">
        <f ca="1"/>
        <v>0.36518621467424861</v>
      </c>
      <c r="AA7" s="46">
        <f ca="1"/>
        <v>0.43833469537172365</v>
      </c>
      <c r="AB7" s="47">
        <f ca="1"/>
        <v>0.45070920851494067</v>
      </c>
    </row>
    <row r="8" spans="1:56" ht="20" customHeight="1" x14ac:dyDescent="0.2">
      <c r="A8" s="41">
        <v>7</v>
      </c>
      <c r="D8" s="48">
        <f ca="1"/>
        <v>0</v>
      </c>
      <c r="E8" s="49">
        <f ca="1"/>
        <v>0.26958536102128483</v>
      </c>
      <c r="F8" s="49">
        <f ca="1"/>
        <v>1</v>
      </c>
      <c r="G8" s="49">
        <f ca="1"/>
        <v>0.4874866902185151</v>
      </c>
      <c r="H8" s="50">
        <f ca="1"/>
        <v>1</v>
      </c>
      <c r="I8" s="48">
        <f ca="1"/>
        <v>0.30909224377573419</v>
      </c>
      <c r="J8" s="49">
        <f ca="1"/>
        <v>1</v>
      </c>
      <c r="K8" s="49">
        <f ca="1"/>
        <v>0.15720975629523659</v>
      </c>
      <c r="L8" s="49">
        <f ca="1"/>
        <v>0.38322233391048466</v>
      </c>
      <c r="M8" s="50">
        <f ca="1"/>
        <v>0.57699790023526143</v>
      </c>
      <c r="N8" s="48">
        <f ca="1"/>
        <v>1</v>
      </c>
      <c r="O8" s="49">
        <f ca="1"/>
        <v>0.17677269419232655</v>
      </c>
      <c r="P8" s="49">
        <f ca="1"/>
        <v>0.61378201105565433</v>
      </c>
      <c r="Q8" s="49">
        <f ca="1"/>
        <v>0.64463313068249883</v>
      </c>
      <c r="R8" s="50">
        <f ca="1"/>
        <v>0</v>
      </c>
      <c r="S8" s="48">
        <f ca="1"/>
        <v>0.37057343048749869</v>
      </c>
      <c r="T8" s="49">
        <f ca="1"/>
        <v>1</v>
      </c>
      <c r="U8" s="49">
        <f ca="1"/>
        <v>0.34139235886810937</v>
      </c>
      <c r="V8" s="49">
        <f ca="1"/>
        <v>1</v>
      </c>
      <c r="W8" s="50">
        <f ca="1"/>
        <v>0.62948157681499672</v>
      </c>
      <c r="X8" s="48">
        <f ca="1"/>
        <v>1</v>
      </c>
      <c r="Y8" s="49">
        <f ca="1"/>
        <v>0.34958417480323833</v>
      </c>
      <c r="Z8" s="49">
        <f ca="1"/>
        <v>1</v>
      </c>
      <c r="AA8" s="49">
        <f ca="1"/>
        <v>1</v>
      </c>
      <c r="AB8" s="50">
        <f ca="1"/>
        <v>1</v>
      </c>
    </row>
    <row r="9" spans="1:56" ht="20" customHeight="1" x14ac:dyDescent="0.2">
      <c r="A9" s="41">
        <v>8</v>
      </c>
      <c r="D9" s="48">
        <f ca="1"/>
        <v>0</v>
      </c>
      <c r="E9" s="49">
        <f ca="1"/>
        <v>0.34709982929130223</v>
      </c>
      <c r="F9" s="49">
        <f ca="1"/>
        <v>1</v>
      </c>
      <c r="G9" s="49">
        <f ca="1"/>
        <v>1</v>
      </c>
      <c r="H9" s="50">
        <f ca="1"/>
        <v>1</v>
      </c>
      <c r="I9" s="48">
        <f ca="1"/>
        <v>0.45743298552496059</v>
      </c>
      <c r="J9" s="49">
        <f ca="1"/>
        <v>1</v>
      </c>
      <c r="K9" s="49">
        <f ca="1"/>
        <v>1</v>
      </c>
      <c r="L9" s="49">
        <f ca="1"/>
        <v>1</v>
      </c>
      <c r="M9" s="50">
        <f ca="1"/>
        <v>0.41181979389349366</v>
      </c>
      <c r="N9" s="48">
        <f ca="1"/>
        <v>1</v>
      </c>
      <c r="O9" s="49">
        <f ca="1"/>
        <v>1</v>
      </c>
      <c r="P9" s="49">
        <f ca="1"/>
        <v>1</v>
      </c>
      <c r="Q9" s="49">
        <f ca="1"/>
        <v>0.39771131229128331</v>
      </c>
      <c r="R9" s="50">
        <f ca="1"/>
        <v>0</v>
      </c>
      <c r="S9" s="48">
        <f ca="1"/>
        <v>0.16479800860068505</v>
      </c>
      <c r="T9" s="49">
        <f ca="1"/>
        <v>1</v>
      </c>
      <c r="U9" s="49">
        <f ca="1"/>
        <v>1</v>
      </c>
      <c r="V9" s="49">
        <f ca="1"/>
        <v>1</v>
      </c>
      <c r="W9" s="50">
        <f ca="1"/>
        <v>0.15381588292190895</v>
      </c>
      <c r="X9" s="48">
        <f ca="1"/>
        <v>1</v>
      </c>
      <c r="Y9" s="49">
        <f ca="1"/>
        <v>0.19063535018698208</v>
      </c>
      <c r="Z9" s="49">
        <f ca="1"/>
        <v>1</v>
      </c>
      <c r="AA9" s="49">
        <f ca="1"/>
        <v>0.29391519553277146</v>
      </c>
      <c r="AB9" s="50">
        <f ca="1"/>
        <v>1</v>
      </c>
    </row>
    <row r="10" spans="1:56" ht="20" customHeight="1" x14ac:dyDescent="0.2">
      <c r="A10" s="41">
        <v>9</v>
      </c>
      <c r="D10" s="48">
        <f ca="1"/>
        <v>0</v>
      </c>
      <c r="E10" s="49">
        <f ca="1"/>
        <v>0.21732436038448644</v>
      </c>
      <c r="F10" s="49">
        <f ca="1"/>
        <v>0.57542727657390846</v>
      </c>
      <c r="G10" s="49">
        <f ca="1"/>
        <v>0.42233687282846499</v>
      </c>
      <c r="H10" s="50">
        <f ca="1"/>
        <v>1</v>
      </c>
      <c r="I10" s="48">
        <f ca="1"/>
        <v>0.57160393603370196</v>
      </c>
      <c r="J10" s="49">
        <f ca="1"/>
        <v>1</v>
      </c>
      <c r="K10" s="49">
        <f ca="1"/>
        <v>0.17145440958570068</v>
      </c>
      <c r="L10" s="49">
        <f ca="1"/>
        <v>0.43554735985079762</v>
      </c>
      <c r="M10" s="50">
        <f ca="1"/>
        <v>0.24288143673775597</v>
      </c>
      <c r="N10" s="48">
        <f ca="1"/>
        <v>1</v>
      </c>
      <c r="O10" s="49">
        <f ca="1"/>
        <v>0.45663546032593905</v>
      </c>
      <c r="P10" s="49">
        <f ca="1"/>
        <v>1</v>
      </c>
      <c r="Q10" s="49">
        <f ca="1"/>
        <v>0.54916534251443094</v>
      </c>
      <c r="R10" s="50">
        <f ca="1"/>
        <v>0</v>
      </c>
      <c r="S10" s="48">
        <f ca="1"/>
        <v>0.35891603721293253</v>
      </c>
      <c r="T10" s="49">
        <f ca="1"/>
        <v>1</v>
      </c>
      <c r="U10" s="49">
        <f ca="1"/>
        <v>0.64616898336424389</v>
      </c>
      <c r="V10" s="49">
        <f ca="1"/>
        <v>1</v>
      </c>
      <c r="W10" s="50">
        <f ca="1"/>
        <v>0.48459652030447498</v>
      </c>
      <c r="X10" s="48">
        <f ca="1"/>
        <v>1</v>
      </c>
      <c r="Y10" s="49">
        <f ca="1"/>
        <v>1</v>
      </c>
      <c r="Z10" s="49">
        <f ca="1"/>
        <v>1</v>
      </c>
      <c r="AA10" s="49">
        <f ca="1"/>
        <v>0.51168128563951576</v>
      </c>
      <c r="AB10" s="50">
        <f ca="1"/>
        <v>1</v>
      </c>
    </row>
    <row r="11" spans="1:56" ht="20" customHeight="1" thickBot="1" x14ac:dyDescent="0.25">
      <c r="A11" s="41">
        <v>10</v>
      </c>
      <c r="D11" s="51">
        <f ca="1"/>
        <v>0</v>
      </c>
      <c r="E11" s="52">
        <f ca="1"/>
        <v>0.19639197098300198</v>
      </c>
      <c r="F11" s="52">
        <f ca="1"/>
        <v>1</v>
      </c>
      <c r="G11" s="52">
        <f ca="1"/>
        <v>1</v>
      </c>
      <c r="H11" s="53">
        <f ca="1"/>
        <v>1</v>
      </c>
      <c r="I11" s="51">
        <f ca="1"/>
        <v>0.31808907793569308</v>
      </c>
      <c r="J11" s="52">
        <f ca="1"/>
        <v>1</v>
      </c>
      <c r="K11" s="52">
        <f ca="1"/>
        <v>1</v>
      </c>
      <c r="L11" s="52">
        <f ca="1"/>
        <v>1</v>
      </c>
      <c r="M11" s="53">
        <f ca="1"/>
        <v>0.47361588991659986</v>
      </c>
      <c r="N11" s="51">
        <f ca="1"/>
        <v>1</v>
      </c>
      <c r="O11" s="52">
        <f ca="1"/>
        <v>1</v>
      </c>
      <c r="P11" s="52">
        <f ca="1"/>
        <v>1</v>
      </c>
      <c r="Q11" s="52">
        <f ca="1"/>
        <v>0.39052718269779463</v>
      </c>
      <c r="R11" s="53">
        <f ca="1"/>
        <v>0</v>
      </c>
      <c r="S11" s="51">
        <f ca="1"/>
        <v>0.5856674842483911</v>
      </c>
      <c r="T11" s="52">
        <f ca="1"/>
        <v>1</v>
      </c>
      <c r="U11" s="52">
        <f ca="1"/>
        <v>1</v>
      </c>
      <c r="V11" s="52">
        <f ca="1"/>
        <v>1</v>
      </c>
      <c r="W11" s="53">
        <f ca="1"/>
        <v>0.47057062491834412</v>
      </c>
      <c r="X11" s="51">
        <f ca="1"/>
        <v>0.60426402558797665</v>
      </c>
      <c r="Y11" s="52">
        <f ca="1"/>
        <v>0.15814065272525224</v>
      </c>
      <c r="Z11" s="52">
        <f ca="1"/>
        <v>0.26963243053853292</v>
      </c>
      <c r="AA11" s="52">
        <f ca="1"/>
        <v>0.54181176279372867</v>
      </c>
      <c r="AB11" s="53">
        <f ca="1"/>
        <v>0.52047149067672216</v>
      </c>
    </row>
    <row r="12" spans="1:56" ht="20" customHeight="1" thickBot="1" x14ac:dyDescent="0.25">
      <c r="A12" s="41">
        <v>11</v>
      </c>
      <c r="C12" s="41" t="s">
        <v>71</v>
      </c>
      <c r="W12" s="42"/>
    </row>
    <row r="13" spans="1:56" ht="20" customHeight="1" x14ac:dyDescent="0.2">
      <c r="A13" s="41">
        <v>12</v>
      </c>
      <c r="D13" s="45" cm="1">
        <f t="array" aca="1" ref="D13:H17" ca="1">_xlfn.ANCHORARRAY(D7)*2-1</f>
        <v>-1</v>
      </c>
      <c r="E13" s="46">
        <f ca="1"/>
        <v>-0.63314907226765205</v>
      </c>
      <c r="F13" s="46">
        <f ca="1"/>
        <v>1</v>
      </c>
      <c r="G13" s="46">
        <f ca="1"/>
        <v>1</v>
      </c>
      <c r="H13" s="47">
        <f ca="1"/>
        <v>1</v>
      </c>
      <c r="I13" s="45" cm="1">
        <f t="array" aca="1" ref="I13:M17" ca="1">_xlfn.ANCHORARRAY(I7)*2-1</f>
        <v>-0.54173440280612128</v>
      </c>
      <c r="J13" s="46">
        <f ca="1"/>
        <v>1</v>
      </c>
      <c r="K13" s="46">
        <f ca="1"/>
        <v>1</v>
      </c>
      <c r="L13" s="46">
        <f ca="1"/>
        <v>1</v>
      </c>
      <c r="M13" s="47">
        <f ca="1"/>
        <v>-9.0032428447669455E-2</v>
      </c>
      <c r="N13" s="45" cm="1">
        <f t="array" aca="1" ref="N13:R17" ca="1">_xlfn.ANCHORARRAY(N7)*2-1</f>
        <v>1</v>
      </c>
      <c r="O13" s="46">
        <f ca="1"/>
        <v>1</v>
      </c>
      <c r="P13" s="46">
        <f ca="1"/>
        <v>1</v>
      </c>
      <c r="Q13" s="46">
        <f ca="1"/>
        <v>-0.44947166777098135</v>
      </c>
      <c r="R13" s="47">
        <f ca="1"/>
        <v>-1</v>
      </c>
      <c r="S13" s="45" cm="1">
        <f t="array" aca="1" ref="S13:W17" ca="1">_xlfn.ANCHORARRAY(S7)*2-1</f>
        <v>-0.21531875891106966</v>
      </c>
      <c r="T13" s="46">
        <f ca="1"/>
        <v>1</v>
      </c>
      <c r="U13" s="46">
        <f ca="1"/>
        <v>1</v>
      </c>
      <c r="V13" s="46">
        <f ca="1"/>
        <v>1</v>
      </c>
      <c r="W13" s="47">
        <f ca="1"/>
        <v>3.7186019283343752E-2</v>
      </c>
      <c r="X13" s="45" cm="1">
        <f t="array" aca="1" ref="X13:AB17" ca="1">_xlfn.ANCHORARRAY(X7)*2-1</f>
        <v>-0.53885157205324186</v>
      </c>
      <c r="Y13" s="46">
        <f ca="1"/>
        <v>2.6476503127348838E-2</v>
      </c>
      <c r="Z13" s="46">
        <f ca="1"/>
        <v>-0.26962757065150278</v>
      </c>
      <c r="AA13" s="46">
        <f ca="1"/>
        <v>-0.1233306092565527</v>
      </c>
      <c r="AB13" s="47">
        <f ca="1"/>
        <v>-9.8581582970118653E-2</v>
      </c>
    </row>
    <row r="14" spans="1:56" ht="20" customHeight="1" x14ac:dyDescent="0.2">
      <c r="A14" s="41">
        <v>13</v>
      </c>
      <c r="D14" s="48">
        <f ca="1"/>
        <v>-1</v>
      </c>
      <c r="E14" s="49">
        <f ca="1"/>
        <v>-0.46082927795743034</v>
      </c>
      <c r="F14" s="49">
        <f ca="1"/>
        <v>1</v>
      </c>
      <c r="G14" s="49">
        <f ca="1"/>
        <v>-2.502661956296981E-2</v>
      </c>
      <c r="H14" s="50">
        <f ca="1"/>
        <v>1</v>
      </c>
      <c r="I14" s="48">
        <f ca="1"/>
        <v>-0.38181551244853162</v>
      </c>
      <c r="J14" s="49">
        <f ca="1"/>
        <v>1</v>
      </c>
      <c r="K14" s="49">
        <f ca="1"/>
        <v>-0.68558048740952682</v>
      </c>
      <c r="L14" s="49">
        <f ca="1"/>
        <v>-0.23355533217903068</v>
      </c>
      <c r="M14" s="50">
        <f ca="1"/>
        <v>0.15399580047052286</v>
      </c>
      <c r="N14" s="48">
        <f ca="1"/>
        <v>1</v>
      </c>
      <c r="O14" s="49">
        <f ca="1"/>
        <v>-0.6464546116153469</v>
      </c>
      <c r="P14" s="49">
        <f ca="1"/>
        <v>0.22756402211130866</v>
      </c>
      <c r="Q14" s="49">
        <f ca="1"/>
        <v>0.28926626136499767</v>
      </c>
      <c r="R14" s="50">
        <f ca="1"/>
        <v>-1</v>
      </c>
      <c r="S14" s="48">
        <f ca="1"/>
        <v>-0.25885313902500262</v>
      </c>
      <c r="T14" s="49">
        <f ca="1"/>
        <v>1</v>
      </c>
      <c r="U14" s="49">
        <f ca="1"/>
        <v>-0.31721528226378126</v>
      </c>
      <c r="V14" s="49">
        <f ca="1"/>
        <v>1</v>
      </c>
      <c r="W14" s="50">
        <f ca="1"/>
        <v>0.25896315362999345</v>
      </c>
      <c r="X14" s="48">
        <f ca="1"/>
        <v>1</v>
      </c>
      <c r="Y14" s="49">
        <f ca="1"/>
        <v>-0.30083165039352333</v>
      </c>
      <c r="Z14" s="49">
        <f ca="1"/>
        <v>1</v>
      </c>
      <c r="AA14" s="49">
        <f ca="1"/>
        <v>1</v>
      </c>
      <c r="AB14" s="50">
        <f ca="1"/>
        <v>1</v>
      </c>
    </row>
    <row r="15" spans="1:56" ht="20" customHeight="1" x14ac:dyDescent="0.2">
      <c r="A15" s="41">
        <v>14</v>
      </c>
      <c r="D15" s="48">
        <f ca="1"/>
        <v>-1</v>
      </c>
      <c r="E15" s="49">
        <f ca="1"/>
        <v>-0.30580034141739554</v>
      </c>
      <c r="F15" s="49">
        <f ca="1"/>
        <v>1</v>
      </c>
      <c r="G15" s="49">
        <f ca="1"/>
        <v>1</v>
      </c>
      <c r="H15" s="50">
        <f ca="1"/>
        <v>1</v>
      </c>
      <c r="I15" s="48">
        <f ca="1"/>
        <v>-8.5134028950078822E-2</v>
      </c>
      <c r="J15" s="49">
        <f ca="1"/>
        <v>1</v>
      </c>
      <c r="K15" s="49">
        <f ca="1"/>
        <v>1</v>
      </c>
      <c r="L15" s="49">
        <f ca="1"/>
        <v>1</v>
      </c>
      <c r="M15" s="50">
        <f ca="1"/>
        <v>-0.17636041221301269</v>
      </c>
      <c r="N15" s="48">
        <f ca="1"/>
        <v>1</v>
      </c>
      <c r="O15" s="49">
        <f ca="1"/>
        <v>1</v>
      </c>
      <c r="P15" s="49">
        <f ca="1"/>
        <v>1</v>
      </c>
      <c r="Q15" s="49">
        <f ca="1"/>
        <v>-0.20457737541743337</v>
      </c>
      <c r="R15" s="50">
        <f ca="1"/>
        <v>-1</v>
      </c>
      <c r="S15" s="48">
        <f ca="1"/>
        <v>-0.67040398279862989</v>
      </c>
      <c r="T15" s="49">
        <f ca="1"/>
        <v>1</v>
      </c>
      <c r="U15" s="49">
        <f ca="1"/>
        <v>1</v>
      </c>
      <c r="V15" s="49">
        <f ca="1"/>
        <v>1</v>
      </c>
      <c r="W15" s="50">
        <f ca="1"/>
        <v>-0.69236823415618209</v>
      </c>
      <c r="X15" s="48">
        <f ca="1"/>
        <v>1</v>
      </c>
      <c r="Y15" s="49">
        <f ca="1"/>
        <v>-0.61872929962603584</v>
      </c>
      <c r="Z15" s="49">
        <f ca="1"/>
        <v>1</v>
      </c>
      <c r="AA15" s="49">
        <f ca="1"/>
        <v>-0.41216960893445709</v>
      </c>
      <c r="AB15" s="50">
        <f ca="1"/>
        <v>1</v>
      </c>
    </row>
    <row r="16" spans="1:56" ht="20" customHeight="1" x14ac:dyDescent="0.2">
      <c r="A16" s="41">
        <v>15</v>
      </c>
      <c r="D16" s="48">
        <f ca="1"/>
        <v>-1</v>
      </c>
      <c r="E16" s="49">
        <f ca="1"/>
        <v>-0.56535127923102713</v>
      </c>
      <c r="F16" s="49">
        <f ca="1"/>
        <v>0.15085455314781693</v>
      </c>
      <c r="G16" s="49">
        <f ca="1"/>
        <v>-0.15532625434307001</v>
      </c>
      <c r="H16" s="50">
        <f ca="1"/>
        <v>1</v>
      </c>
      <c r="I16" s="48">
        <f ca="1"/>
        <v>0.14320787206740393</v>
      </c>
      <c r="J16" s="49">
        <f ca="1"/>
        <v>1</v>
      </c>
      <c r="K16" s="49">
        <f ca="1"/>
        <v>-0.65709118082859863</v>
      </c>
      <c r="L16" s="49">
        <f ca="1"/>
        <v>-0.12890528029840476</v>
      </c>
      <c r="M16" s="50">
        <f ca="1"/>
        <v>-0.51423712652448805</v>
      </c>
      <c r="N16" s="48">
        <f ca="1"/>
        <v>1</v>
      </c>
      <c r="O16" s="49">
        <f ca="1"/>
        <v>-8.6729079348121907E-2</v>
      </c>
      <c r="P16" s="49">
        <f ca="1"/>
        <v>1</v>
      </c>
      <c r="Q16" s="49">
        <f ca="1"/>
        <v>9.8330685028861886E-2</v>
      </c>
      <c r="R16" s="50">
        <f ca="1"/>
        <v>-1</v>
      </c>
      <c r="S16" s="48">
        <f ca="1"/>
        <v>-0.28216792557413495</v>
      </c>
      <c r="T16" s="49">
        <f ca="1"/>
        <v>1</v>
      </c>
      <c r="U16" s="49">
        <f ca="1"/>
        <v>0.29233796672848777</v>
      </c>
      <c r="V16" s="49">
        <f ca="1"/>
        <v>1</v>
      </c>
      <c r="W16" s="50">
        <f ca="1"/>
        <v>-3.0806959391050048E-2</v>
      </c>
      <c r="X16" s="48">
        <f ca="1"/>
        <v>1</v>
      </c>
      <c r="Y16" s="49">
        <f ca="1"/>
        <v>1</v>
      </c>
      <c r="Z16" s="49">
        <f ca="1"/>
        <v>1</v>
      </c>
      <c r="AA16" s="49">
        <f ca="1"/>
        <v>2.3362571279031519E-2</v>
      </c>
      <c r="AB16" s="50">
        <f ca="1"/>
        <v>1</v>
      </c>
    </row>
    <row r="17" spans="1:35" ht="20" customHeight="1" thickBot="1" x14ac:dyDescent="0.25">
      <c r="A17" s="41">
        <v>16</v>
      </c>
      <c r="D17" s="51">
        <f ca="1"/>
        <v>-1</v>
      </c>
      <c r="E17" s="52">
        <f ca="1"/>
        <v>-0.60721605803399603</v>
      </c>
      <c r="F17" s="52">
        <f ca="1"/>
        <v>1</v>
      </c>
      <c r="G17" s="52">
        <f ca="1"/>
        <v>1</v>
      </c>
      <c r="H17" s="53">
        <f ca="1"/>
        <v>1</v>
      </c>
      <c r="I17" s="51">
        <f ca="1"/>
        <v>-0.36382184412861385</v>
      </c>
      <c r="J17" s="52">
        <f ca="1"/>
        <v>1</v>
      </c>
      <c r="K17" s="52">
        <f ca="1"/>
        <v>1</v>
      </c>
      <c r="L17" s="52">
        <f ca="1"/>
        <v>1</v>
      </c>
      <c r="M17" s="53">
        <f ca="1"/>
        <v>-5.2768220166800273E-2</v>
      </c>
      <c r="N17" s="51">
        <f ca="1"/>
        <v>1</v>
      </c>
      <c r="O17" s="52">
        <f ca="1"/>
        <v>1</v>
      </c>
      <c r="P17" s="52">
        <f ca="1"/>
        <v>1</v>
      </c>
      <c r="Q17" s="52">
        <f ca="1"/>
        <v>-0.21894563460441074</v>
      </c>
      <c r="R17" s="53">
        <f ca="1"/>
        <v>-1</v>
      </c>
      <c r="S17" s="51">
        <f ca="1"/>
        <v>0.1713349684967822</v>
      </c>
      <c r="T17" s="52">
        <f ca="1"/>
        <v>1</v>
      </c>
      <c r="U17" s="52">
        <f ca="1"/>
        <v>1</v>
      </c>
      <c r="V17" s="52">
        <f ca="1"/>
        <v>1</v>
      </c>
      <c r="W17" s="53">
        <f ca="1"/>
        <v>-5.8858750163311768E-2</v>
      </c>
      <c r="X17" s="51">
        <f ca="1"/>
        <v>0.2085280511759533</v>
      </c>
      <c r="Y17" s="52">
        <f ca="1"/>
        <v>-0.68371869454949552</v>
      </c>
      <c r="Z17" s="52">
        <f ca="1"/>
        <v>-0.46073513892293416</v>
      </c>
      <c r="AA17" s="52">
        <f ca="1"/>
        <v>8.3623525587457337E-2</v>
      </c>
      <c r="AB17" s="53">
        <f ca="1"/>
        <v>4.0942981353444319E-2</v>
      </c>
    </row>
    <row r="18" spans="1:35" ht="20" customHeight="1" x14ac:dyDescent="0.2">
      <c r="A18" s="41">
        <v>17</v>
      </c>
    </row>
    <row r="19" spans="1:35" ht="20" customHeight="1" x14ac:dyDescent="0.2">
      <c r="A19" s="41">
        <v>18</v>
      </c>
    </row>
    <row r="20" spans="1:35" ht="20" customHeight="1" x14ac:dyDescent="0.2">
      <c r="A20" s="41">
        <v>19</v>
      </c>
      <c r="D20" s="41" t="str">
        <f>ADDRESS(5,4)</f>
        <v>$D$5</v>
      </c>
    </row>
    <row r="21" spans="1:35" ht="20" customHeight="1" x14ac:dyDescent="0.2">
      <c r="A21" s="41">
        <v>20</v>
      </c>
      <c r="AE21" s="41" t="s">
        <v>0</v>
      </c>
    </row>
    <row r="22" spans="1:35" ht="20" customHeight="1" x14ac:dyDescent="0.2">
      <c r="A22" s="41">
        <v>21</v>
      </c>
      <c r="AE22" s="95" cm="1">
        <f t="array" ref="AE22:AI22">_xlfn.SEQUENCE(1,batch)</f>
        <v>1</v>
      </c>
      <c r="AF22" s="95">
        <v>2</v>
      </c>
      <c r="AG22" s="95">
        <v>3</v>
      </c>
      <c r="AH22" s="95">
        <v>4</v>
      </c>
      <c r="AI22" s="95">
        <v>5</v>
      </c>
    </row>
    <row r="23" spans="1:35" ht="20" customHeight="1" x14ac:dyDescent="0.2">
      <c r="A23" s="41">
        <v>22</v>
      </c>
      <c r="AE23" s="96" cm="1">
        <f t="array" aca="1" ref="AE23:AI48" ca="1">_xlfn.VSTACK(_xlfn.WRAPCOLS(_xlfn.TOCOL(IF(OFFSET(D13,0,0,5, 5*batch)="","", OFFSET(D13,0,0,5, 5*batch)),1, TRUE), dim_0), _xlfn.SEQUENCE(1, batch)*0+1)</f>
        <v>-1</v>
      </c>
      <c r="AF23" s="96">
        <f ca="1"/>
        <v>-0.54173440280612128</v>
      </c>
      <c r="AG23" s="96">
        <f ca="1"/>
        <v>1</v>
      </c>
      <c r="AH23" s="95">
        <f ca="1"/>
        <v>-0.21531875891106966</v>
      </c>
      <c r="AI23" s="95">
        <f ca="1"/>
        <v>-0.53885157205324186</v>
      </c>
    </row>
    <row r="24" spans="1:35" ht="20" customHeight="1" x14ac:dyDescent="0.2">
      <c r="A24" s="41">
        <v>23</v>
      </c>
      <c r="AE24" s="96">
        <f ca="1"/>
        <v>-1</v>
      </c>
      <c r="AF24" s="96">
        <f ca="1"/>
        <v>-0.38181551244853162</v>
      </c>
      <c r="AG24" s="96">
        <f ca="1"/>
        <v>1</v>
      </c>
      <c r="AH24" s="95">
        <f ca="1"/>
        <v>-0.25885313902500262</v>
      </c>
      <c r="AI24" s="95">
        <f ca="1"/>
        <v>1</v>
      </c>
    </row>
    <row r="25" spans="1:35" ht="20" customHeight="1" x14ac:dyDescent="0.2">
      <c r="A25" s="41">
        <v>24</v>
      </c>
      <c r="AE25" s="96">
        <f ca="1"/>
        <v>-1</v>
      </c>
      <c r="AF25" s="96">
        <f ca="1"/>
        <v>-8.5134028950078822E-2</v>
      </c>
      <c r="AG25" s="96">
        <f ca="1"/>
        <v>1</v>
      </c>
      <c r="AH25" s="95">
        <f ca="1"/>
        <v>-0.67040398279862989</v>
      </c>
      <c r="AI25" s="95">
        <f ca="1"/>
        <v>1</v>
      </c>
    </row>
    <row r="26" spans="1:35" ht="20" customHeight="1" x14ac:dyDescent="0.2">
      <c r="A26" s="41">
        <v>25</v>
      </c>
      <c r="AE26" s="96">
        <f ca="1"/>
        <v>-1</v>
      </c>
      <c r="AF26" s="96">
        <f ca="1"/>
        <v>0.14320787206740393</v>
      </c>
      <c r="AG26" s="96">
        <f ca="1"/>
        <v>1</v>
      </c>
      <c r="AH26" s="95">
        <f ca="1"/>
        <v>-0.28216792557413495</v>
      </c>
      <c r="AI26" s="95">
        <f ca="1"/>
        <v>1</v>
      </c>
    </row>
    <row r="27" spans="1:35" ht="20" customHeight="1" x14ac:dyDescent="0.2">
      <c r="A27" s="41">
        <v>26</v>
      </c>
      <c r="AE27" s="96">
        <f ca="1"/>
        <v>-1</v>
      </c>
      <c r="AF27" s="96">
        <f ca="1"/>
        <v>-0.36382184412861385</v>
      </c>
      <c r="AG27" s="96">
        <f ca="1"/>
        <v>1</v>
      </c>
      <c r="AH27" s="95">
        <f ca="1"/>
        <v>0.1713349684967822</v>
      </c>
      <c r="AI27" s="95">
        <f ca="1"/>
        <v>0.2085280511759533</v>
      </c>
    </row>
    <row r="28" spans="1:35" ht="20" customHeight="1" x14ac:dyDescent="0.2">
      <c r="A28" s="41">
        <v>27</v>
      </c>
      <c r="AE28" s="96">
        <f ca="1"/>
        <v>-0.63314907226765205</v>
      </c>
      <c r="AF28" s="96">
        <f ca="1"/>
        <v>1</v>
      </c>
      <c r="AG28" s="96">
        <f ca="1"/>
        <v>1</v>
      </c>
      <c r="AH28" s="95">
        <f ca="1"/>
        <v>1</v>
      </c>
      <c r="AI28" s="95">
        <f ca="1"/>
        <v>2.6476503127348838E-2</v>
      </c>
    </row>
    <row r="29" spans="1:35" ht="20" customHeight="1" x14ac:dyDescent="0.2">
      <c r="A29" s="41">
        <v>28</v>
      </c>
      <c r="AE29" s="96">
        <f ca="1"/>
        <v>-0.46082927795743034</v>
      </c>
      <c r="AF29" s="96">
        <f ca="1"/>
        <v>1</v>
      </c>
      <c r="AG29" s="96">
        <f ca="1"/>
        <v>-0.6464546116153469</v>
      </c>
      <c r="AH29" s="95">
        <f ca="1"/>
        <v>1</v>
      </c>
      <c r="AI29" s="95">
        <f ca="1"/>
        <v>-0.30083165039352333</v>
      </c>
    </row>
    <row r="30" spans="1:35" ht="20" customHeight="1" x14ac:dyDescent="0.2">
      <c r="A30" s="41">
        <v>29</v>
      </c>
      <c r="AE30" s="96">
        <f ca="1"/>
        <v>-0.30580034141739554</v>
      </c>
      <c r="AF30" s="96">
        <f ca="1"/>
        <v>1</v>
      </c>
      <c r="AG30" s="96">
        <f ca="1"/>
        <v>1</v>
      </c>
      <c r="AH30" s="95">
        <f ca="1"/>
        <v>1</v>
      </c>
      <c r="AI30" s="95">
        <f ca="1"/>
        <v>-0.61872929962603584</v>
      </c>
    </row>
    <row r="31" spans="1:35" ht="20" customHeight="1" x14ac:dyDescent="0.2">
      <c r="A31" s="41">
        <v>30</v>
      </c>
      <c r="AE31" s="96">
        <f ca="1"/>
        <v>-0.56535127923102713</v>
      </c>
      <c r="AF31" s="96">
        <f ca="1"/>
        <v>1</v>
      </c>
      <c r="AG31" s="96">
        <f ca="1"/>
        <v>-8.6729079348121907E-2</v>
      </c>
      <c r="AH31" s="95">
        <f ca="1"/>
        <v>1</v>
      </c>
      <c r="AI31" s="95">
        <f ca="1"/>
        <v>1</v>
      </c>
    </row>
    <row r="32" spans="1:35" ht="20" customHeight="1" x14ac:dyDescent="0.2">
      <c r="A32" s="41">
        <v>31</v>
      </c>
      <c r="AE32" s="96">
        <f ca="1"/>
        <v>-0.60721605803399603</v>
      </c>
      <c r="AF32" s="96">
        <f ca="1"/>
        <v>1</v>
      </c>
      <c r="AG32" s="96">
        <f ca="1"/>
        <v>1</v>
      </c>
      <c r="AH32" s="95">
        <f ca="1"/>
        <v>1</v>
      </c>
      <c r="AI32" s="95">
        <f ca="1"/>
        <v>-0.68371869454949552</v>
      </c>
    </row>
    <row r="33" spans="1:35" ht="20" customHeight="1" x14ac:dyDescent="0.2">
      <c r="A33" s="41">
        <v>32</v>
      </c>
      <c r="AE33" s="96">
        <f ca="1"/>
        <v>1</v>
      </c>
      <c r="AF33" s="96">
        <f ca="1"/>
        <v>1</v>
      </c>
      <c r="AG33" s="96">
        <f ca="1"/>
        <v>1</v>
      </c>
      <c r="AH33" s="95">
        <f ca="1"/>
        <v>1</v>
      </c>
      <c r="AI33" s="95">
        <f ca="1"/>
        <v>-0.26962757065150278</v>
      </c>
    </row>
    <row r="34" spans="1:35" ht="20" customHeight="1" x14ac:dyDescent="0.2">
      <c r="A34" s="41">
        <v>33</v>
      </c>
      <c r="AE34" s="96">
        <f ca="1"/>
        <v>1</v>
      </c>
      <c r="AF34" s="96">
        <f ca="1"/>
        <v>-0.68558048740952682</v>
      </c>
      <c r="AG34" s="96">
        <f ca="1"/>
        <v>0.22756402211130866</v>
      </c>
      <c r="AH34" s="95">
        <f ca="1"/>
        <v>-0.31721528226378126</v>
      </c>
      <c r="AI34" s="95">
        <f ca="1"/>
        <v>1</v>
      </c>
    </row>
    <row r="35" spans="1:35" ht="20" customHeight="1" x14ac:dyDescent="0.2">
      <c r="A35" s="41">
        <v>34</v>
      </c>
      <c r="AE35" s="96">
        <f ca="1"/>
        <v>1</v>
      </c>
      <c r="AF35" s="96">
        <f ca="1"/>
        <v>1</v>
      </c>
      <c r="AG35" s="96">
        <f ca="1"/>
        <v>1</v>
      </c>
      <c r="AH35" s="95">
        <f ca="1"/>
        <v>1</v>
      </c>
      <c r="AI35" s="95">
        <f ca="1"/>
        <v>1</v>
      </c>
    </row>
    <row r="36" spans="1:35" ht="20" customHeight="1" x14ac:dyDescent="0.2">
      <c r="A36" s="41">
        <v>35</v>
      </c>
      <c r="AE36" s="96">
        <f ca="1"/>
        <v>0.15085455314781693</v>
      </c>
      <c r="AF36" s="96">
        <f ca="1"/>
        <v>-0.65709118082859863</v>
      </c>
      <c r="AG36" s="96">
        <f ca="1"/>
        <v>1</v>
      </c>
      <c r="AH36" s="95">
        <f ca="1"/>
        <v>0.29233796672848777</v>
      </c>
      <c r="AI36" s="95">
        <f ca="1"/>
        <v>1</v>
      </c>
    </row>
    <row r="37" spans="1:35" ht="20" customHeight="1" x14ac:dyDescent="0.2">
      <c r="A37" s="41">
        <v>36</v>
      </c>
      <c r="AE37" s="96">
        <f ca="1"/>
        <v>1</v>
      </c>
      <c r="AF37" s="96">
        <f ca="1"/>
        <v>1</v>
      </c>
      <c r="AG37" s="96">
        <f ca="1"/>
        <v>1</v>
      </c>
      <c r="AH37" s="95">
        <f ca="1"/>
        <v>1</v>
      </c>
      <c r="AI37" s="95">
        <f ca="1"/>
        <v>-0.46073513892293416</v>
      </c>
    </row>
    <row r="38" spans="1:35" ht="20" customHeight="1" x14ac:dyDescent="0.2">
      <c r="A38" s="41">
        <v>37</v>
      </c>
      <c r="AE38" s="96">
        <f ca="1"/>
        <v>1</v>
      </c>
      <c r="AF38" s="96">
        <f ca="1"/>
        <v>1</v>
      </c>
      <c r="AG38" s="96">
        <f ca="1"/>
        <v>-0.44947166777098135</v>
      </c>
      <c r="AH38" s="95">
        <f ca="1"/>
        <v>1</v>
      </c>
      <c r="AI38" s="95">
        <f ca="1"/>
        <v>-0.1233306092565527</v>
      </c>
    </row>
    <row r="39" spans="1:35" ht="20" customHeight="1" x14ac:dyDescent="0.2">
      <c r="A39" s="41">
        <v>38</v>
      </c>
      <c r="AE39" s="96">
        <f ca="1"/>
        <v>-2.502661956296981E-2</v>
      </c>
      <c r="AF39" s="96">
        <f ca="1"/>
        <v>-0.23355533217903068</v>
      </c>
      <c r="AG39" s="96">
        <f ca="1"/>
        <v>0.28926626136499767</v>
      </c>
      <c r="AH39" s="95">
        <f ca="1"/>
        <v>1</v>
      </c>
      <c r="AI39" s="95">
        <f ca="1"/>
        <v>1</v>
      </c>
    </row>
    <row r="40" spans="1:35" ht="20" customHeight="1" x14ac:dyDescent="0.2">
      <c r="A40" s="41">
        <v>39</v>
      </c>
      <c r="AE40" s="96">
        <f ca="1"/>
        <v>1</v>
      </c>
      <c r="AF40" s="96">
        <f ca="1"/>
        <v>1</v>
      </c>
      <c r="AG40" s="96">
        <f ca="1"/>
        <v>-0.20457737541743337</v>
      </c>
      <c r="AH40" s="95">
        <f ca="1"/>
        <v>1</v>
      </c>
      <c r="AI40" s="95">
        <f ca="1"/>
        <v>-0.41216960893445709</v>
      </c>
    </row>
    <row r="41" spans="1:35" ht="20" customHeight="1" x14ac:dyDescent="0.2">
      <c r="A41" s="41">
        <v>40</v>
      </c>
      <c r="AE41" s="96">
        <f ca="1"/>
        <v>-0.15532625434307001</v>
      </c>
      <c r="AF41" s="96">
        <f ca="1"/>
        <v>-0.12890528029840476</v>
      </c>
      <c r="AG41" s="96">
        <f ca="1"/>
        <v>9.8330685028861886E-2</v>
      </c>
      <c r="AH41" s="95">
        <f ca="1"/>
        <v>1</v>
      </c>
      <c r="AI41" s="95">
        <f ca="1"/>
        <v>2.3362571279031519E-2</v>
      </c>
    </row>
    <row r="42" spans="1:35" ht="20" customHeight="1" x14ac:dyDescent="0.2">
      <c r="A42" s="41">
        <v>41</v>
      </c>
      <c r="AE42" s="96">
        <f ca="1"/>
        <v>1</v>
      </c>
      <c r="AF42" s="96">
        <f ca="1"/>
        <v>1</v>
      </c>
      <c r="AG42" s="96">
        <f ca="1"/>
        <v>-0.21894563460441074</v>
      </c>
      <c r="AH42" s="95">
        <f ca="1"/>
        <v>1</v>
      </c>
      <c r="AI42" s="95">
        <f ca="1"/>
        <v>8.3623525587457337E-2</v>
      </c>
    </row>
    <row r="43" spans="1:35" ht="20" customHeight="1" x14ac:dyDescent="0.2">
      <c r="AE43" s="96">
        <f ca="1"/>
        <v>1</v>
      </c>
      <c r="AF43" s="96">
        <f ca="1"/>
        <v>-9.0032428447669455E-2</v>
      </c>
      <c r="AG43" s="96">
        <f ca="1"/>
        <v>-1</v>
      </c>
      <c r="AH43" s="95">
        <f ca="1"/>
        <v>3.7186019283343752E-2</v>
      </c>
      <c r="AI43" s="95">
        <f ca="1"/>
        <v>-9.8581582970118653E-2</v>
      </c>
    </row>
    <row r="44" spans="1:35" ht="20" customHeight="1" x14ac:dyDescent="0.2">
      <c r="AE44" s="96">
        <f ca="1"/>
        <v>1</v>
      </c>
      <c r="AF44" s="96">
        <f ca="1"/>
        <v>0.15399580047052286</v>
      </c>
      <c r="AG44" s="96">
        <f ca="1"/>
        <v>-1</v>
      </c>
      <c r="AH44" s="95">
        <f ca="1"/>
        <v>0.25896315362999345</v>
      </c>
      <c r="AI44" s="95">
        <f ca="1"/>
        <v>1</v>
      </c>
    </row>
    <row r="45" spans="1:35" ht="20" customHeight="1" x14ac:dyDescent="0.2">
      <c r="AE45" s="96">
        <f ca="1"/>
        <v>1</v>
      </c>
      <c r="AF45" s="96">
        <f ca="1"/>
        <v>-0.17636041221301269</v>
      </c>
      <c r="AG45" s="96">
        <f ca="1"/>
        <v>-1</v>
      </c>
      <c r="AH45" s="95">
        <f ca="1"/>
        <v>-0.69236823415618209</v>
      </c>
      <c r="AI45" s="95">
        <f ca="1"/>
        <v>1</v>
      </c>
    </row>
    <row r="46" spans="1:35" ht="20" customHeight="1" x14ac:dyDescent="0.2">
      <c r="AE46" s="96">
        <f ca="1"/>
        <v>1</v>
      </c>
      <c r="AF46" s="96">
        <f ca="1"/>
        <v>-0.51423712652448805</v>
      </c>
      <c r="AG46" s="96">
        <f ca="1"/>
        <v>-1</v>
      </c>
      <c r="AH46" s="95">
        <f ca="1"/>
        <v>-3.0806959391050048E-2</v>
      </c>
      <c r="AI46" s="95">
        <f ca="1"/>
        <v>1</v>
      </c>
    </row>
    <row r="47" spans="1:35" ht="20" customHeight="1" x14ac:dyDescent="0.2">
      <c r="AE47" s="96">
        <f ca="1"/>
        <v>1</v>
      </c>
      <c r="AF47" s="96">
        <f ca="1"/>
        <v>-5.2768220166800273E-2</v>
      </c>
      <c r="AG47" s="96">
        <f ca="1"/>
        <v>-1</v>
      </c>
      <c r="AH47" s="95">
        <f ca="1"/>
        <v>-5.8858750163311768E-2</v>
      </c>
      <c r="AI47" s="95">
        <f ca="1"/>
        <v>4.0942981353444319E-2</v>
      </c>
    </row>
    <row r="48" spans="1:35" ht="20" customHeight="1" x14ac:dyDescent="0.2">
      <c r="AE48" s="43">
        <f ca="1"/>
        <v>1</v>
      </c>
      <c r="AF48" s="43">
        <f ca="1"/>
        <v>1</v>
      </c>
      <c r="AG48" s="43">
        <f ca="1"/>
        <v>1</v>
      </c>
      <c r="AH48" s="41">
        <f ca="1"/>
        <v>1</v>
      </c>
      <c r="AI48" s="41">
        <f ca="1"/>
        <v>1</v>
      </c>
    </row>
    <row r="50" spans="4:35" ht="20" customHeight="1" x14ac:dyDescent="0.2">
      <c r="D50" s="41" t="s">
        <v>54</v>
      </c>
      <c r="AC50" s="41" t="s">
        <v>55</v>
      </c>
      <c r="AE50" s="41" t="s">
        <v>56</v>
      </c>
    </row>
    <row r="51" spans="4:35" ht="20" customHeight="1" x14ac:dyDescent="0.2">
      <c r="D51" s="95" cm="1">
        <f t="array" aca="1" ref="D51:AC54" ca="1">_xlfn.RANDARRAY(dim_1, dim_0+1, -1, 1)</f>
        <v>-0.97737538930854928</v>
      </c>
      <c r="E51" s="95">
        <f ca="1"/>
        <v>0.11112072324810196</v>
      </c>
      <c r="F51" s="95">
        <f ca="1"/>
        <v>-0.32202137056667679</v>
      </c>
      <c r="G51" s="95">
        <f ca="1"/>
        <v>-0.42274542684654937</v>
      </c>
      <c r="H51" s="95">
        <f ca="1"/>
        <v>0.34500856230879196</v>
      </c>
      <c r="I51" s="95">
        <f ca="1"/>
        <v>-0.71580179511781394</v>
      </c>
      <c r="J51" s="95">
        <f ca="1"/>
        <v>0.88791711203180346</v>
      </c>
      <c r="K51" s="95">
        <f ca="1"/>
        <v>0.62104087598450386</v>
      </c>
      <c r="L51" s="95">
        <f ca="1"/>
        <v>0.7425284591082737</v>
      </c>
      <c r="M51" s="95">
        <f ca="1"/>
        <v>-0.95181836538278031</v>
      </c>
      <c r="N51" s="95">
        <f ca="1"/>
        <v>0.38510906301442249</v>
      </c>
      <c r="O51" s="95">
        <f ca="1"/>
        <v>0.71036127141832184</v>
      </c>
      <c r="P51" s="95">
        <f ca="1"/>
        <v>0.87635648285539913</v>
      </c>
      <c r="Q51" s="95">
        <f ca="1"/>
        <v>-0.37063226216035261</v>
      </c>
      <c r="R51" s="95">
        <f ca="1"/>
        <v>9.238999242158874E-3</v>
      </c>
      <c r="S51" s="95">
        <f ca="1"/>
        <v>0.17861208967191589</v>
      </c>
      <c r="T51" s="95">
        <f ca="1"/>
        <v>-0.55369586341598342</v>
      </c>
      <c r="U51" s="95">
        <f ca="1"/>
        <v>-0.44358262734926623</v>
      </c>
      <c r="V51" s="95">
        <f ca="1"/>
        <v>-0.59018507757363792</v>
      </c>
      <c r="W51" s="95">
        <f ca="1"/>
        <v>0.77811583428027409</v>
      </c>
      <c r="X51" s="95">
        <f ca="1"/>
        <v>0.96082983052023851</v>
      </c>
      <c r="Y51" s="95">
        <f ca="1"/>
        <v>0.86057918306994541</v>
      </c>
      <c r="Z51" s="95">
        <f ca="1"/>
        <v>7.6382913504417838E-2</v>
      </c>
      <c r="AA51" s="95">
        <f ca="1"/>
        <v>-0.98759113421774281</v>
      </c>
      <c r="AB51" s="95">
        <f ca="1"/>
        <v>-0.47922852316816456</v>
      </c>
      <c r="AC51" s="95">
        <f ca="1"/>
        <v>-0.59921362740102158</v>
      </c>
      <c r="AE51" s="95" cm="1">
        <f t="array" aca="1" ref="AE51:AI54" ca="1">MMULT(_xlfn.ANCHORARRAY(D51),_xlfn.ANCHORARRAY(AE23))</f>
        <v>3.6538859760536733</v>
      </c>
      <c r="AF51" s="95">
        <f ca="1"/>
        <v>2.6245244467996449</v>
      </c>
      <c r="AG51" s="95">
        <f ca="1"/>
        <v>-3.2975480578088661</v>
      </c>
      <c r="AH51" s="95">
        <f ca="1"/>
        <v>1.1312332800046343</v>
      </c>
      <c r="AI51" s="95">
        <f ca="1"/>
        <v>0.69013746784564556</v>
      </c>
    </row>
    <row r="52" spans="4:35" ht="20" customHeight="1" x14ac:dyDescent="0.2">
      <c r="D52" s="95">
        <f ca="1"/>
        <v>-0.71583120703071357</v>
      </c>
      <c r="E52" s="95">
        <f ca="1"/>
        <v>1.8700669775622902E-2</v>
      </c>
      <c r="F52" s="95">
        <f ca="1"/>
        <v>5.390947902468346E-2</v>
      </c>
      <c r="G52" s="95">
        <f ca="1"/>
        <v>0.20787757502963577</v>
      </c>
      <c r="H52" s="95">
        <f ca="1"/>
        <v>-0.98946333559344013</v>
      </c>
      <c r="I52" s="95">
        <f ca="1"/>
        <v>-1.5992011738677148E-2</v>
      </c>
      <c r="J52" s="95">
        <f ca="1"/>
        <v>0.65074320565729482</v>
      </c>
      <c r="K52" s="95">
        <f ca="1"/>
        <v>-0.51664521721476242</v>
      </c>
      <c r="L52" s="95">
        <f ca="1"/>
        <v>-7.9797642730858209E-2</v>
      </c>
      <c r="M52" s="95">
        <f ca="1"/>
        <v>-0.49543158859467451</v>
      </c>
      <c r="N52" s="95">
        <f ca="1"/>
        <v>-0.70916905033806099</v>
      </c>
      <c r="O52" s="95">
        <f ca="1"/>
        <v>-0.61879491527806918</v>
      </c>
      <c r="P52" s="95">
        <f ca="1"/>
        <v>-0.73751261292712345</v>
      </c>
      <c r="Q52" s="95">
        <f ca="1"/>
        <v>-0.61609056672140183</v>
      </c>
      <c r="R52" s="95">
        <f ca="1"/>
        <v>-0.31747422717852869</v>
      </c>
      <c r="S52" s="95">
        <f ca="1"/>
        <v>0.98583935328688321</v>
      </c>
      <c r="T52" s="95">
        <f ca="1"/>
        <v>-0.11465488957184289</v>
      </c>
      <c r="U52" s="95">
        <f ca="1"/>
        <v>-2.7057679231838216E-2</v>
      </c>
      <c r="V52" s="95">
        <f ca="1"/>
        <v>0.67721669328576439</v>
      </c>
      <c r="W52" s="95">
        <f ca="1"/>
        <v>0.72387038489976807</v>
      </c>
      <c r="X52" s="95">
        <f ca="1"/>
        <v>-0.70953923190589241</v>
      </c>
      <c r="Y52" s="95">
        <f ca="1"/>
        <v>-0.48369205458687525</v>
      </c>
      <c r="Z52" s="95">
        <f ca="1"/>
        <v>-0.88925979972530911</v>
      </c>
      <c r="AA52" s="95">
        <f ca="1"/>
        <v>-0.80650264902896729</v>
      </c>
      <c r="AB52" s="95">
        <f ca="1"/>
        <v>-0.6634522664774456</v>
      </c>
      <c r="AC52" s="95">
        <f ca="1"/>
        <v>0.20918460938097172</v>
      </c>
      <c r="AE52" s="95">
        <f ca="1"/>
        <v>-2.5998316902392355</v>
      </c>
      <c r="AF52" s="95">
        <f ca="1"/>
        <v>1.8008871290225552</v>
      </c>
      <c r="AG52" s="95">
        <f ca="1"/>
        <v>-2.1886964523280943</v>
      </c>
      <c r="AH52" s="95">
        <f ca="1"/>
        <v>0.66221558751086818</v>
      </c>
      <c r="AI52" s="95">
        <f ca="1"/>
        <v>-2.868835930709281</v>
      </c>
    </row>
    <row r="53" spans="4:35" ht="20" customHeight="1" x14ac:dyDescent="0.2">
      <c r="D53" s="95">
        <f ca="1"/>
        <v>0.34330844226298018</v>
      </c>
      <c r="E53" s="95">
        <f ca="1"/>
        <v>0.38981507017827721</v>
      </c>
      <c r="F53" s="95">
        <f ca="1"/>
        <v>8.092790105218306E-2</v>
      </c>
      <c r="G53" s="95">
        <f ca="1"/>
        <v>0.41365411183494527</v>
      </c>
      <c r="H53" s="95">
        <f ca="1"/>
        <v>3.7598856012946769E-2</v>
      </c>
      <c r="I53" s="95">
        <f ca="1"/>
        <v>-0.24020484170183565</v>
      </c>
      <c r="J53" s="95">
        <f ca="1"/>
        <v>-6.1359981700973565E-2</v>
      </c>
      <c r="K53" s="95">
        <f ca="1"/>
        <v>-0.55501636861152615</v>
      </c>
      <c r="L53" s="95">
        <f ca="1"/>
        <v>-0.30358176754794042</v>
      </c>
      <c r="M53" s="95">
        <f ca="1"/>
        <v>-0.73815494863781539</v>
      </c>
      <c r="N53" s="95">
        <f ca="1"/>
        <v>-0.18484680083037119</v>
      </c>
      <c r="O53" s="95">
        <f ca="1"/>
        <v>0.9334787914242626</v>
      </c>
      <c r="P53" s="95">
        <f ca="1"/>
        <v>0.81923562556832041</v>
      </c>
      <c r="Q53" s="95">
        <f ca="1"/>
        <v>0.91660199342975535</v>
      </c>
      <c r="R53" s="95">
        <f ca="1"/>
        <v>-0.10666195213087359</v>
      </c>
      <c r="S53" s="95">
        <f ca="1"/>
        <v>0.29429800167529985</v>
      </c>
      <c r="T53" s="95">
        <f ca="1"/>
        <v>0.1733972803835262</v>
      </c>
      <c r="U53" s="95">
        <f ca="1"/>
        <v>-0.66419355018960191</v>
      </c>
      <c r="V53" s="95">
        <f ca="1"/>
        <v>0.72586810971767624</v>
      </c>
      <c r="W53" s="95">
        <f ca="1"/>
        <v>-0.64612169278754861</v>
      </c>
      <c r="X53" s="95">
        <f ca="1"/>
        <v>-0.10849659767123376</v>
      </c>
      <c r="Y53" s="95">
        <f ca="1"/>
        <v>-0.55330646168002318</v>
      </c>
      <c r="Z53" s="95">
        <f ca="1"/>
        <v>0.55152434730940958</v>
      </c>
      <c r="AA53" s="95">
        <f ca="1"/>
        <v>0.98518017139900671</v>
      </c>
      <c r="AB53" s="95">
        <f ca="1"/>
        <v>-0.53998824329456485</v>
      </c>
      <c r="AC53" s="95">
        <f ca="1"/>
        <v>-0.80620097612254615</v>
      </c>
      <c r="AE53" s="95">
        <f ca="1"/>
        <v>-0.30028003441880635</v>
      </c>
      <c r="AF53" s="95">
        <f ca="1"/>
        <v>-5.5161189110875197</v>
      </c>
      <c r="AG53" s="95">
        <f ca="1"/>
        <v>0.58016387010739323</v>
      </c>
      <c r="AH53" s="95">
        <f ca="1"/>
        <v>-3.1888038051337393</v>
      </c>
      <c r="AI53" s="95">
        <f ca="1"/>
        <v>4.5717300332823134</v>
      </c>
    </row>
    <row r="54" spans="4:35" ht="20" customHeight="1" x14ac:dyDescent="0.2">
      <c r="D54" s="95">
        <f ca="1"/>
        <v>0.37394068456462848</v>
      </c>
      <c r="E54" s="95">
        <f ca="1"/>
        <v>0.35137368520915468</v>
      </c>
      <c r="F54" s="95">
        <f ca="1"/>
        <v>-0.77160344621872134</v>
      </c>
      <c r="G54" s="95">
        <f ca="1"/>
        <v>-0.2974516254461459</v>
      </c>
      <c r="H54" s="95">
        <f ca="1"/>
        <v>-0.84253241969599002</v>
      </c>
      <c r="I54" s="95">
        <f ca="1"/>
        <v>-0.97387118602539147</v>
      </c>
      <c r="J54" s="95">
        <f ca="1"/>
        <v>0.45760372044959219</v>
      </c>
      <c r="K54" s="95">
        <f ca="1"/>
        <v>-0.99169699154896329</v>
      </c>
      <c r="L54" s="95">
        <f ca="1"/>
        <v>-0.76326895810197071</v>
      </c>
      <c r="M54" s="95">
        <f ca="1"/>
        <v>0.90497219337477275</v>
      </c>
      <c r="N54" s="95">
        <f ca="1"/>
        <v>-0.23749233688928673</v>
      </c>
      <c r="O54" s="95">
        <f ca="1"/>
        <v>0.60988896316259966</v>
      </c>
      <c r="P54" s="95">
        <f ca="1"/>
        <v>0.40022718843615324</v>
      </c>
      <c r="Q54" s="95">
        <f ca="1"/>
        <v>-0.53585835098967616</v>
      </c>
      <c r="R54" s="95">
        <f ca="1"/>
        <v>-0.8872676878444139</v>
      </c>
      <c r="S54" s="95">
        <f ca="1"/>
        <v>-0.27892008283359448</v>
      </c>
      <c r="T54" s="95">
        <f ca="1"/>
        <v>0.94129425457663696</v>
      </c>
      <c r="U54" s="95">
        <f ca="1"/>
        <v>0.92756246149003574</v>
      </c>
      <c r="V54" s="95">
        <f ca="1"/>
        <v>0.30715246261870521</v>
      </c>
      <c r="W54" s="95">
        <f ca="1"/>
        <v>-1.222288050054865E-2</v>
      </c>
      <c r="X54" s="95">
        <f ca="1"/>
        <v>-0.61438695641541607</v>
      </c>
      <c r="Y54" s="95">
        <f ca="1"/>
        <v>0.97147886996478494</v>
      </c>
      <c r="Z54" s="95">
        <f ca="1"/>
        <v>-0.89482716105578386</v>
      </c>
      <c r="AA54" s="95">
        <f ca="1"/>
        <v>-4.4245147093635584E-3</v>
      </c>
      <c r="AB54" s="95">
        <f ca="1"/>
        <v>-0.15725915720286765</v>
      </c>
      <c r="AC54" s="95">
        <f ca="1"/>
        <v>0.21915294911400673</v>
      </c>
      <c r="AE54" s="95">
        <f ca="1"/>
        <v>1.6666710078993001</v>
      </c>
      <c r="AF54" s="95">
        <f ca="1"/>
        <v>-1.1944880776779243</v>
      </c>
      <c r="AG54" s="95">
        <f ca="1"/>
        <v>-2.4387503512385522</v>
      </c>
      <c r="AH54" s="95">
        <f ca="1"/>
        <v>0.80617161775774071</v>
      </c>
      <c r="AI54" s="95">
        <f ca="1"/>
        <v>-0.13461058198982884</v>
      </c>
    </row>
    <row r="56" spans="4:35" ht="20" customHeight="1" x14ac:dyDescent="0.2">
      <c r="AE56" s="41" t="s">
        <v>57</v>
      </c>
    </row>
    <row r="57" spans="4:35" ht="20" customHeight="1" x14ac:dyDescent="0.2">
      <c r="AE57" s="95" cm="1">
        <f t="array" aca="1" ref="AE57:AI60" ca="1">IF(_xlfn.ANCHORARRAY(AE51)&gt;0,_xlfn.ANCHORARRAY(AE51),0)</f>
        <v>3.6538859760536733</v>
      </c>
      <c r="AF57" s="95">
        <f ca="1"/>
        <v>2.6245244467996449</v>
      </c>
      <c r="AG57" s="95">
        <f ca="1"/>
        <v>0</v>
      </c>
      <c r="AH57" s="95">
        <f ca="1"/>
        <v>1.1312332800046343</v>
      </c>
      <c r="AI57" s="95">
        <f ca="1"/>
        <v>0.69013746784564556</v>
      </c>
    </row>
    <row r="58" spans="4:35" ht="20" customHeight="1" x14ac:dyDescent="0.2">
      <c r="AE58" s="95">
        <f ca="1"/>
        <v>0</v>
      </c>
      <c r="AF58" s="95">
        <f ca="1"/>
        <v>1.8008871290225552</v>
      </c>
      <c r="AG58" s="95">
        <f ca="1"/>
        <v>0</v>
      </c>
      <c r="AH58" s="95">
        <f ca="1"/>
        <v>0.66221558751086818</v>
      </c>
      <c r="AI58" s="95">
        <f ca="1"/>
        <v>0</v>
      </c>
    </row>
    <row r="59" spans="4:35" ht="20" customHeight="1" x14ac:dyDescent="0.2">
      <c r="AE59" s="95">
        <f ca="1"/>
        <v>0</v>
      </c>
      <c r="AF59" s="95">
        <f ca="1"/>
        <v>0</v>
      </c>
      <c r="AG59" s="95">
        <f ca="1"/>
        <v>0.58016387010739323</v>
      </c>
      <c r="AH59" s="95">
        <f ca="1"/>
        <v>0</v>
      </c>
      <c r="AI59" s="95">
        <f ca="1"/>
        <v>4.5717300332823134</v>
      </c>
    </row>
    <row r="60" spans="4:35" ht="20" customHeight="1" x14ac:dyDescent="0.2">
      <c r="AE60" s="95">
        <f ca="1"/>
        <v>1.6666710078993001</v>
      </c>
      <c r="AF60" s="95">
        <f ca="1"/>
        <v>0</v>
      </c>
      <c r="AG60" s="95">
        <f ca="1"/>
        <v>0</v>
      </c>
      <c r="AH60" s="95">
        <f ca="1"/>
        <v>0.80617161775774071</v>
      </c>
      <c r="AI60" s="95">
        <f ca="1"/>
        <v>0</v>
      </c>
    </row>
    <row r="62" spans="4:35" ht="20" customHeight="1" x14ac:dyDescent="0.2">
      <c r="AE62" s="41" t="s">
        <v>63</v>
      </c>
    </row>
    <row r="63" spans="4:35" ht="20" customHeight="1" x14ac:dyDescent="0.2">
      <c r="AE63" s="95" cm="1">
        <f t="array" aca="1" ref="AE63:AI63" ca="1">_xlfn.BYCOL(_xlfn.ANCHORARRAY(AE57), _xlfn.LAMBDA(_xlpm.col, AVERAGE(_xlpm.col)))</f>
        <v>1.3301392459882433</v>
      </c>
      <c r="AF63" s="95">
        <f ca="1"/>
        <v>1.10635289395555</v>
      </c>
      <c r="AG63" s="95">
        <f ca="1"/>
        <v>0.14504096752684831</v>
      </c>
      <c r="AH63" s="95">
        <f ca="1"/>
        <v>0.6499051213183108</v>
      </c>
      <c r="AI63" s="95">
        <f ca="1"/>
        <v>1.3154668752819898</v>
      </c>
    </row>
    <row r="64" spans="4:35" ht="20" customHeight="1" x14ac:dyDescent="0.2">
      <c r="AE64" s="41" t="s">
        <v>64</v>
      </c>
    </row>
    <row r="65" spans="25:40" ht="20" customHeight="1" x14ac:dyDescent="0.2">
      <c r="AE65" s="95" cm="1">
        <f t="array" aca="1" ref="AE65:AI65" ca="1">_xlfn.BYCOL(_xlfn.ANCHORARRAY(AE57), _xlfn.LAMBDA(_xlpm.col, _xlfn.STDEV.S(_xlpm.col)))</f>
        <v>1.737008282430943</v>
      </c>
      <c r="AF65" s="95">
        <f ca="1"/>
        <v>1.3210167951837708</v>
      </c>
      <c r="AG65" s="95">
        <f ca="1"/>
        <v>0.29008193505369662</v>
      </c>
      <c r="AH65" s="95">
        <f ca="1"/>
        <v>0.47561336838075646</v>
      </c>
      <c r="AI65" s="95">
        <f ca="1"/>
        <v>2.195084874735922</v>
      </c>
    </row>
    <row r="66" spans="25:40" ht="20" customHeight="1" x14ac:dyDescent="0.2">
      <c r="AE66" s="41" t="s">
        <v>58</v>
      </c>
    </row>
    <row r="67" spans="25:40" ht="20" customHeight="1" x14ac:dyDescent="0.2">
      <c r="AE67" s="95" cm="1">
        <f t="array" aca="1" ref="AE67:AI71" ca="1">_xlfn.VSTACK((_xlfn.ANCHORARRAY(AE57)-_xlfn.ANCHORARRAY(AE63))/(_xlfn.ANCHORARRAY(AE65)-0.00000001), _xlfn.SEQUENCE(1, batch)*0+1)</f>
        <v>1.3377867952311746</v>
      </c>
      <c r="AF67" s="95">
        <f ca="1"/>
        <v>1.1492447104923782</v>
      </c>
      <c r="AG67" s="95">
        <f ca="1"/>
        <v>-0.50000001723651</v>
      </c>
      <c r="AH67" s="95">
        <f ca="1"/>
        <v>1.0120156429689513</v>
      </c>
      <c r="AI67" s="95">
        <f ca="1"/>
        <v>-0.28487709859526272</v>
      </c>
    </row>
    <row r="68" spans="25:40" ht="20" customHeight="1" x14ac:dyDescent="0.2">
      <c r="AE68" s="95">
        <f ca="1"/>
        <v>-0.76576448546598652</v>
      </c>
      <c r="AF68" s="95">
        <f ca="1"/>
        <v>0.5257573127432944</v>
      </c>
      <c r="AG68" s="95">
        <f ca="1"/>
        <v>-0.50000001723651</v>
      </c>
      <c r="AH68" s="95">
        <f ca="1"/>
        <v>2.5883348261009371E-2</v>
      </c>
      <c r="AI68" s="95">
        <f ca="1"/>
        <v>-0.59927836796425915</v>
      </c>
    </row>
    <row r="69" spans="25:40" ht="20" customHeight="1" x14ac:dyDescent="0.2">
      <c r="AE69" s="95">
        <f ca="1"/>
        <v>-0.76576448546598652</v>
      </c>
      <c r="AF69" s="95">
        <f ca="1"/>
        <v>-0.8375010116178363</v>
      </c>
      <c r="AG69" s="95">
        <f ca="1"/>
        <v>1.50000005170953</v>
      </c>
      <c r="AH69" s="95">
        <f ca="1"/>
        <v>-1.3664568285696121</v>
      </c>
      <c r="AI69" s="95">
        <f ca="1"/>
        <v>1.4834338345237807</v>
      </c>
    </row>
    <row r="70" spans="25:40" ht="20" customHeight="1" x14ac:dyDescent="0.2">
      <c r="AE70" s="95">
        <f ca="1"/>
        <v>0.19374217570079885</v>
      </c>
      <c r="AF70" s="95">
        <f ca="1"/>
        <v>-0.8375010116178363</v>
      </c>
      <c r="AG70" s="95">
        <f ca="1"/>
        <v>-0.50000001723651</v>
      </c>
      <c r="AH70" s="95">
        <f ca="1"/>
        <v>0.32855783733965138</v>
      </c>
      <c r="AI70" s="95">
        <f ca="1"/>
        <v>-0.59927836796425915</v>
      </c>
    </row>
    <row r="71" spans="25:40" ht="20" customHeight="1" x14ac:dyDescent="0.2">
      <c r="AE71" s="41">
        <f ca="1"/>
        <v>1</v>
      </c>
      <c r="AF71" s="41">
        <f ca="1"/>
        <v>1</v>
      </c>
      <c r="AG71" s="41">
        <f ca="1"/>
        <v>1</v>
      </c>
      <c r="AH71" s="41">
        <f ca="1"/>
        <v>1</v>
      </c>
      <c r="AI71" s="41">
        <f ca="1"/>
        <v>1</v>
      </c>
    </row>
    <row r="73" spans="25:40" ht="20" customHeight="1" x14ac:dyDescent="0.2">
      <c r="Y73" s="41" t="s">
        <v>54</v>
      </c>
      <c r="AC73" s="41" t="s">
        <v>55</v>
      </c>
      <c r="AE73" s="41" t="s">
        <v>56</v>
      </c>
    </row>
    <row r="74" spans="25:40" ht="20" customHeight="1" x14ac:dyDescent="0.2">
      <c r="Y74" s="95" cm="1">
        <f t="array" aca="1" ref="Y74:AC79" ca="1">_xlfn.RANDARRAY(dim_2, dim_1+1, -1, 1)</f>
        <v>-0.20962744218184337</v>
      </c>
      <c r="Z74" s="95">
        <f ca="1"/>
        <v>-0.19713464864339336</v>
      </c>
      <c r="AA74" s="95">
        <f ca="1"/>
        <v>-0.73634370035796315</v>
      </c>
      <c r="AB74" s="95">
        <f ca="1"/>
        <v>-0.96601817318887018</v>
      </c>
      <c r="AC74" s="95">
        <f ca="1"/>
        <v>-0.55577136159032192</v>
      </c>
      <c r="AE74" s="95" cm="1">
        <f t="array" aca="1" ref="AE74:AI79" ca="1">MMULT(_xlfn.ANCHORARRAY(Y74),_xlfn.ANCHORARRAY(AE67))</f>
        <v>-0.30854208068273892</v>
      </c>
      <c r="AF74" s="95">
        <f ca="1"/>
        <v>0.52540021742391185</v>
      </c>
      <c r="AG74" s="95">
        <f ca="1"/>
        <v>-0.97389679453425915</v>
      </c>
      <c r="AH74" s="95">
        <f ca="1"/>
        <v>-8.42310813244464E-2</v>
      </c>
      <c r="AI74" s="95">
        <f ca="1"/>
        <v>-0.89131813826439377</v>
      </c>
    </row>
    <row r="75" spans="25:40" ht="20" customHeight="1" x14ac:dyDescent="0.2">
      <c r="Y75" s="95">
        <f ca="1"/>
        <v>0.32842292220910951</v>
      </c>
      <c r="Z75" s="95">
        <f ca="1"/>
        <v>-0.16864947981785705</v>
      </c>
      <c r="AA75" s="95">
        <f ca="1"/>
        <v>0.50110808573482135</v>
      </c>
      <c r="AB75" s="95">
        <f ca="1"/>
        <v>-0.91333837381744454</v>
      </c>
      <c r="AC75" s="95">
        <f ca="1"/>
        <v>-0.1677699032102915</v>
      </c>
      <c r="AE75" s="95">
        <f ca="1"/>
        <v>-0.15994721162087405</v>
      </c>
      <c r="AF75" s="95">
        <f ca="1"/>
        <v>0.46624298892709537</v>
      </c>
      <c r="AG75" s="95">
        <f ca="1"/>
        <v>0.96067473000592973</v>
      </c>
      <c r="AH75" s="95">
        <f ca="1"/>
        <v>-0.82459302810982826</v>
      </c>
      <c r="AI75" s="95">
        <f ca="1"/>
        <v>1.1304425318147924</v>
      </c>
      <c r="AN75" s="41">
        <f>ROWS(tinyDigits!tinyDigitsSample1)</f>
        <v>5</v>
      </c>
    </row>
    <row r="76" spans="25:40" ht="20" customHeight="1" x14ac:dyDescent="0.2">
      <c r="Y76" s="95">
        <f ca="1"/>
        <v>-0.57682845012857986</v>
      </c>
      <c r="Z76" s="95">
        <f ca="1"/>
        <v>-0.87484377841210592</v>
      </c>
      <c r="AA76" s="95">
        <f ca="1"/>
        <v>9.0084298837933341E-2</v>
      </c>
      <c r="AB76" s="95">
        <f ca="1"/>
        <v>-0.4605721115275605</v>
      </c>
      <c r="AC76" s="95">
        <f ca="1"/>
        <v>-0.64959625878430649</v>
      </c>
      <c r="AE76" s="95">
        <f ca="1"/>
        <v>-0.90956104634377366</v>
      </c>
      <c r="AF76" s="95">
        <f ca="1"/>
        <v>-1.4621849000445903</v>
      </c>
      <c r="AG76" s="95">
        <f ca="1"/>
        <v>0.44165239712535209</v>
      </c>
      <c r="AH76" s="95">
        <f ca="1"/>
        <v>-1.5304204420110343</v>
      </c>
      <c r="AI76" s="95">
        <f ca="1"/>
        <v>0.44864890840764904</v>
      </c>
    </row>
    <row r="77" spans="25:40" ht="20" customHeight="1" x14ac:dyDescent="0.2">
      <c r="Y77" s="95">
        <f ca="1"/>
        <v>-0.73618977058902146</v>
      </c>
      <c r="Z77" s="95">
        <f ca="1"/>
        <v>0.37849906693229074</v>
      </c>
      <c r="AA77" s="95">
        <f ca="1"/>
        <v>0.49367631964206438</v>
      </c>
      <c r="AB77" s="95">
        <f ca="1"/>
        <v>0.98857364455057528</v>
      </c>
      <c r="AC77" s="95">
        <f ca="1"/>
        <v>-0.68181445344941349</v>
      </c>
      <c r="AE77" s="95">
        <f ca="1"/>
        <v>-2.1430319347281865</v>
      </c>
      <c r="AF77" s="95">
        <f ca="1"/>
        <v>-2.5702638453931157</v>
      </c>
      <c r="AG77" s="95">
        <f ca="1"/>
        <v>-0.25674142977968878</v>
      </c>
      <c r="AH77" s="95">
        <f ca="1"/>
        <v>-1.7668369536868505</v>
      </c>
      <c r="AI77" s="95">
        <f ca="1"/>
        <v>-0.55901179515421229</v>
      </c>
    </row>
    <row r="78" spans="25:40" ht="20" customHeight="1" x14ac:dyDescent="0.2">
      <c r="Y78" s="95">
        <f ca="1"/>
        <v>0.26571736202016227</v>
      </c>
      <c r="Z78" s="95">
        <f ca="1"/>
        <v>-0.21707596967175102</v>
      </c>
      <c r="AA78" s="95">
        <f ca="1"/>
        <v>-0.67892347220152671</v>
      </c>
      <c r="AB78" s="95">
        <f ca="1"/>
        <v>-0.72377343486425016</v>
      </c>
      <c r="AC78" s="95">
        <f ca="1"/>
        <v>-0.4902915660172904</v>
      </c>
      <c r="AE78" s="95">
        <f ca="1"/>
        <v>0.41108072375580584</v>
      </c>
      <c r="AF78" s="95">
        <f ca="1"/>
        <v>0.87571350695540295</v>
      </c>
      <c r="AG78" s="95">
        <f ca="1"/>
        <v>-1.1711107765315545</v>
      </c>
      <c r="AH78" s="95">
        <f ca="1"/>
        <v>0.46291808821652591</v>
      </c>
      <c r="AI78" s="95">
        <f ca="1"/>
        <v>-1.0092957112216117</v>
      </c>
    </row>
    <row r="79" spans="25:40" ht="20" customHeight="1" x14ac:dyDescent="0.2">
      <c r="Y79" s="95">
        <f ca="1"/>
        <v>-4.2151576969315707E-2</v>
      </c>
      <c r="Z79" s="95">
        <f ca="1"/>
        <v>-0.18684405399982618</v>
      </c>
      <c r="AA79" s="95">
        <f ca="1"/>
        <v>0.18251508723176069</v>
      </c>
      <c r="AB79" s="95">
        <f ca="1"/>
        <v>0.73147508019366558</v>
      </c>
      <c r="AC79" s="95">
        <f ca="1"/>
        <v>0.84393921545020212</v>
      </c>
      <c r="AE79" s="95">
        <f ca="1"/>
        <v>0.93258193489986518</v>
      </c>
      <c r="AF79" s="95">
        <f ca="1"/>
        <v>-6.8205578981258008E-2</v>
      </c>
      <c r="AG79" s="95">
        <f ca="1"/>
        <v>0.86647212246235861</v>
      </c>
      <c r="AH79" s="95">
        <f ca="1"/>
        <v>0.78737789361272947</v>
      </c>
      <c r="AI79" s="95">
        <f ca="1"/>
        <v>0.80031069758894502</v>
      </c>
    </row>
    <row r="81" spans="23:55" ht="20" customHeight="1" x14ac:dyDescent="0.2">
      <c r="AE81" s="41" t="s">
        <v>65</v>
      </c>
    </row>
    <row r="82" spans="23:55" ht="20" customHeight="1" x14ac:dyDescent="0.2">
      <c r="AE82" s="95" cm="1">
        <f t="array" aca="1" ref="AE82:AI88" ca="1">_xlfn.VSTACK(TANH(_xlfn.ANCHORARRAY(AE74)),_xlfn.SEQUENCE(1,batch)*0+1)</f>
        <v>-0.29911019293768015</v>
      </c>
      <c r="AF82" s="95">
        <f ca="1"/>
        <v>0.48185715003577778</v>
      </c>
      <c r="AG82" s="95">
        <f ca="1"/>
        <v>-0.75041171159339826</v>
      </c>
      <c r="AH82" s="95">
        <f ca="1"/>
        <v>-8.4032442034365898E-2</v>
      </c>
      <c r="AI82" s="95">
        <f ca="1"/>
        <v>-0.71204417499021988</v>
      </c>
    </row>
    <row r="83" spans="23:55" ht="20" customHeight="1" x14ac:dyDescent="0.2">
      <c r="AE83" s="95">
        <f ca="1"/>
        <v>-0.15859704413653244</v>
      </c>
      <c r="AF83" s="95">
        <f ca="1"/>
        <v>0.43515872844361797</v>
      </c>
      <c r="AG83" s="95">
        <f ca="1"/>
        <v>0.74457768088316734</v>
      </c>
      <c r="AH83" s="95">
        <f ca="1"/>
        <v>-0.67756202650107367</v>
      </c>
      <c r="AI83" s="95">
        <f ca="1"/>
        <v>0.81117066327243492</v>
      </c>
    </row>
    <row r="84" spans="23:55" ht="20" customHeight="1" x14ac:dyDescent="0.2">
      <c r="AE84" s="95">
        <f ca="1"/>
        <v>-0.72092150355057294</v>
      </c>
      <c r="AF84" s="95">
        <f ca="1"/>
        <v>-0.8980761177290254</v>
      </c>
      <c r="AG84" s="95">
        <f ca="1"/>
        <v>0.41501317453371001</v>
      </c>
      <c r="AH84" s="95">
        <f ca="1"/>
        <v>-0.91049651537078746</v>
      </c>
      <c r="AI84" s="95">
        <f ca="1"/>
        <v>0.42078777354730956</v>
      </c>
    </row>
    <row r="85" spans="23:55" ht="20" customHeight="1" x14ac:dyDescent="0.2">
      <c r="AE85" s="95">
        <f ca="1"/>
        <v>-0.97285552817988818</v>
      </c>
      <c r="AF85" s="95">
        <f ca="1"/>
        <v>-0.98835895469804824</v>
      </c>
      <c r="AG85" s="95">
        <f ca="1"/>
        <v>-0.25124516495837251</v>
      </c>
      <c r="AH85" s="95">
        <f ca="1"/>
        <v>-0.94326171356966637</v>
      </c>
      <c r="AI85" s="95">
        <f ca="1"/>
        <v>-0.50724385748457945</v>
      </c>
    </row>
    <row r="86" spans="23:55" ht="20" customHeight="1" x14ac:dyDescent="0.2">
      <c r="AE86" s="95">
        <f ca="1"/>
        <v>0.38938992539833639</v>
      </c>
      <c r="AF86" s="95">
        <f ca="1"/>
        <v>0.70426539948909184</v>
      </c>
      <c r="AG86" s="95">
        <f ca="1"/>
        <v>-0.82462793208488627</v>
      </c>
      <c r="AH86" s="95">
        <f ca="1"/>
        <v>0.43245954591015129</v>
      </c>
      <c r="AI86" s="95">
        <f ca="1"/>
        <v>-0.76547056126143076</v>
      </c>
    </row>
    <row r="87" spans="23:55" ht="20" customHeight="1" x14ac:dyDescent="0.2">
      <c r="AE87" s="95">
        <f ca="1"/>
        <v>0.73179540907247997</v>
      </c>
      <c r="AF87" s="95">
        <f ca="1"/>
        <v>-6.8100011276697431E-2</v>
      </c>
      <c r="AG87" s="95">
        <f ca="1"/>
        <v>0.69957726829332612</v>
      </c>
      <c r="AH87" s="95">
        <f ca="1"/>
        <v>0.65692105366360887</v>
      </c>
      <c r="AI87" s="95">
        <f ca="1"/>
        <v>0.66421043152610548</v>
      </c>
    </row>
    <row r="88" spans="23:55" ht="20" customHeight="1" x14ac:dyDescent="0.2">
      <c r="AE88" s="41">
        <f ca="1"/>
        <v>1</v>
      </c>
      <c r="AF88" s="41">
        <f ca="1"/>
        <v>1</v>
      </c>
      <c r="AG88" s="41">
        <f ca="1"/>
        <v>1</v>
      </c>
      <c r="AH88" s="41">
        <f ca="1"/>
        <v>1</v>
      </c>
      <c r="AI88" s="41">
        <f ca="1"/>
        <v>1</v>
      </c>
    </row>
    <row r="90" spans="23:55" ht="20" customHeight="1" x14ac:dyDescent="0.2">
      <c r="W90" s="41" t="s">
        <v>54</v>
      </c>
      <c r="AC90" s="41" t="s">
        <v>55</v>
      </c>
      <c r="AE90" s="41" t="s">
        <v>56</v>
      </c>
    </row>
    <row r="91" spans="23:55" ht="20" customHeight="1" x14ac:dyDescent="0.2">
      <c r="W91" s="95" cm="1">
        <f t="array" aca="1" ref="W91:AC99" ca="1">_xlfn.RANDARRAY(dim_3, dim_2+1, -1, 1)</f>
        <v>-0.41872397577347531</v>
      </c>
      <c r="X91" s="95">
        <f ca="1"/>
        <v>0.93925974385802591</v>
      </c>
      <c r="Y91" s="95">
        <f ca="1"/>
        <v>0.51568518946707376</v>
      </c>
      <c r="Z91" s="95">
        <f ca="1"/>
        <v>-0.39363915997758503</v>
      </c>
      <c r="AA91" s="95">
        <f ca="1"/>
        <v>-0.28704142308008929</v>
      </c>
      <c r="AB91" s="95">
        <f ca="1"/>
        <v>0.46801912908696663</v>
      </c>
      <c r="AC91" s="95">
        <f ca="1"/>
        <v>0.74811554549390857</v>
      </c>
      <c r="AE91" s="95" cm="1">
        <f t="array" aca="1" ref="AE91:AI99" ca="1">MMULT(_xlfn.ANCHORARRAY(W91),_xlfn.ANCHORARRAY(AE82))</f>
        <v>0.96630503807029611</v>
      </c>
      <c r="AF91" s="95">
        <f ca="1"/>
        <v>0.64698426498435679</v>
      </c>
      <c r="AG91" s="95">
        <f ca="1"/>
        <v>2.6387167648643119</v>
      </c>
      <c r="AH91" s="95">
        <f ca="1"/>
        <v>0.23198820471957027</v>
      </c>
      <c r="AI91" s="95">
        <f ca="1"/>
        <v>2.755415478397484</v>
      </c>
      <c r="AW91" s="95" cm="1">
        <f t="array" aca="1" ref="AW91:BC99" ca="1">_xlfn.ANCHORARRAY(W91)+_xlfn.ANCHORARRAY(AW114)</f>
        <v>0.23830075027973086</v>
      </c>
      <c r="AX91" s="95">
        <f ca="1"/>
        <v>-0.20083162030256996</v>
      </c>
      <c r="AY91" s="95">
        <f ca="1"/>
        <v>-0.52842296152386825</v>
      </c>
      <c r="AZ91" s="95">
        <f ca="1"/>
        <v>-0.61569403483249763</v>
      </c>
      <c r="BA91" s="95">
        <f ca="1"/>
        <v>1.0022188155170693</v>
      </c>
      <c r="BB91" s="95">
        <f ca="1"/>
        <v>0.18460624124642305</v>
      </c>
      <c r="BC91" s="95">
        <f ca="1"/>
        <v>0.18220230345796495</v>
      </c>
    </row>
    <row r="92" spans="23:55" ht="20" customHeight="1" x14ac:dyDescent="0.2">
      <c r="W92" s="95">
        <f ca="1"/>
        <v>0.38969888410273157</v>
      </c>
      <c r="X92" s="95">
        <f ca="1"/>
        <v>-0.99539543810305364</v>
      </c>
      <c r="Y92" s="95">
        <f ca="1"/>
        <v>-5.8779191581756374E-2</v>
      </c>
      <c r="Z92" s="95">
        <f ca="1"/>
        <v>-0.36000014189645513</v>
      </c>
      <c r="AA92" s="95">
        <f ca="1"/>
        <v>0.96183526649922046</v>
      </c>
      <c r="AB92" s="95">
        <f ca="1"/>
        <v>-0.62514554107857179</v>
      </c>
      <c r="AC92" s="95">
        <f ca="1"/>
        <v>-0.15555617200298255</v>
      </c>
      <c r="AE92" s="95">
        <f ca="1"/>
        <v>0.1954013308818916</v>
      </c>
      <c r="AF92" s="95">
        <f ca="1"/>
        <v>0.72762527723510206</v>
      </c>
      <c r="AG92" s="95">
        <f ca="1"/>
        <v>-2.3535796860851326</v>
      </c>
      <c r="AH92" s="95">
        <f ca="1"/>
        <v>0.88451480421308104</v>
      </c>
      <c r="AI92" s="95">
        <f ca="1"/>
        <v>-2.2340850455535906</v>
      </c>
      <c r="AW92" s="95">
        <f ca="1"/>
        <v>0.38350623338178202</v>
      </c>
      <c r="AX92" s="95">
        <f ca="1"/>
        <v>-0.95378567408412684</v>
      </c>
      <c r="AY92" s="95">
        <f ca="1"/>
        <v>0.15867618762341171</v>
      </c>
      <c r="AZ92" s="95">
        <f ca="1"/>
        <v>-0.10871430949654443</v>
      </c>
      <c r="BA92" s="95">
        <f ca="1"/>
        <v>0.83757459415499091</v>
      </c>
      <c r="BB92" s="95">
        <f ca="1"/>
        <v>-0.7436519326373654</v>
      </c>
      <c r="BC92" s="95">
        <f ca="1"/>
        <v>-0.42128568497001845</v>
      </c>
    </row>
    <row r="93" spans="23:55" ht="20" customHeight="1" x14ac:dyDescent="0.2">
      <c r="W93" s="95">
        <f ca="1"/>
        <v>-0.40247089704065964</v>
      </c>
      <c r="X93" s="95">
        <f ca="1"/>
        <v>-0.19539451323354529</v>
      </c>
      <c r="Y93" s="95">
        <f ca="1"/>
        <v>-0.95802257883036002</v>
      </c>
      <c r="Z93" s="95">
        <f ca="1"/>
        <v>-0.56284099355495498</v>
      </c>
      <c r="AA93" s="95">
        <f ca="1"/>
        <v>0.9656459826619519</v>
      </c>
      <c r="AB93" s="95">
        <f ca="1"/>
        <v>-0.36288550406451692</v>
      </c>
      <c r="AC93" s="95">
        <f ca="1"/>
        <v>0.6116951645469435</v>
      </c>
      <c r="AE93" s="95">
        <f ca="1"/>
        <v>2.1117442257404671</v>
      </c>
      <c r="AF93" s="95">
        <f ca="1"/>
        <v>2.4541837522103238</v>
      </c>
      <c r="AG93" s="95">
        <f ca="1"/>
        <v>-0.53811836714858807</v>
      </c>
      <c r="AH93" s="95">
        <f ca="1"/>
        <v>2.3603059544288594</v>
      </c>
      <c r="AI93" s="95">
        <f ca="1"/>
        <v>-0.35805853532177734</v>
      </c>
      <c r="AW93" s="95">
        <f ca="1"/>
        <v>5.9256217677972456E-2</v>
      </c>
      <c r="AX93" s="95">
        <f ca="1"/>
        <v>0.38649020391849431</v>
      </c>
      <c r="AY93" s="95">
        <f ca="1"/>
        <v>-0.70993364535188452</v>
      </c>
      <c r="AZ93" s="95">
        <f ca="1"/>
        <v>-0.19586366764312474</v>
      </c>
      <c r="BA93" s="95">
        <f ca="1"/>
        <v>1.0078861225994065</v>
      </c>
      <c r="BB93" s="95">
        <f ca="1"/>
        <v>-1.0636956635180983</v>
      </c>
      <c r="BC93" s="95">
        <f ca="1"/>
        <v>0.17735428210805659</v>
      </c>
    </row>
    <row r="94" spans="23:55" ht="20" customHeight="1" x14ac:dyDescent="0.2">
      <c r="W94" s="95">
        <f ca="1"/>
        <v>-0.50623888296263608</v>
      </c>
      <c r="X94" s="95">
        <f ca="1"/>
        <v>0.43453615743246776</v>
      </c>
      <c r="Y94" s="95">
        <f ca="1"/>
        <v>4.0928038564071345E-2</v>
      </c>
      <c r="Z94" s="95">
        <f ca="1"/>
        <v>-0.92025487816132645</v>
      </c>
      <c r="AA94" s="95">
        <f ca="1"/>
        <v>-0.8723376784028698</v>
      </c>
      <c r="AB94" s="95">
        <f ca="1"/>
        <v>-0.77146373474182295</v>
      </c>
      <c r="AC94" s="95">
        <f ca="1"/>
        <v>-0.41850773960214371</v>
      </c>
      <c r="AE94" s="95">
        <f ca="1"/>
        <v>-0.37446666019652752</v>
      </c>
      <c r="AF94" s="95">
        <f ca="1"/>
        <v>-0.16238526233160633</v>
      </c>
      <c r="AG94" s="95">
        <f ca="1"/>
        <v>0.71277655896026793</v>
      </c>
      <c r="AH94" s="95">
        <f ca="1"/>
        <v>-0.72365761840250897</v>
      </c>
      <c r="AI94" s="95">
        <f ca="1"/>
        <v>0.93378989583282501</v>
      </c>
      <c r="AW94" s="95">
        <f ca="1"/>
        <v>-0.36498059467873412</v>
      </c>
      <c r="AX94" s="95">
        <f ca="1"/>
        <v>0.28489799765306956</v>
      </c>
      <c r="AY94" s="95">
        <f ca="1"/>
        <v>3.4105354129484962E-2</v>
      </c>
      <c r="AZ94" s="95">
        <f ca="1"/>
        <v>-0.75459312181527749</v>
      </c>
      <c r="BA94" s="95">
        <f ca="1"/>
        <v>-0.76170036204618985</v>
      </c>
      <c r="BB94" s="95">
        <f ca="1"/>
        <v>-0.9450612253780466</v>
      </c>
      <c r="BC94" s="95">
        <f ca="1"/>
        <v>-0.70948596515981288</v>
      </c>
    </row>
    <row r="95" spans="23:55" ht="20" customHeight="1" x14ac:dyDescent="0.2">
      <c r="W95" s="95">
        <f ca="1"/>
        <v>-0.45226004059949521</v>
      </c>
      <c r="X95" s="95">
        <f ca="1"/>
        <v>-0.33753728261980998</v>
      </c>
      <c r="Y95" s="95">
        <f ca="1"/>
        <v>0.51388877199406013</v>
      </c>
      <c r="Z95" s="95">
        <f ca="1"/>
        <v>-0.74037887584652129</v>
      </c>
      <c r="AA95" s="95">
        <f ca="1"/>
        <v>-0.13057680649267556</v>
      </c>
      <c r="AB95" s="95">
        <f ca="1"/>
        <v>-0.88733772514733911</v>
      </c>
      <c r="AC95" s="95">
        <f ca="1"/>
        <v>-0.76208454361688549</v>
      </c>
      <c r="AE95" s="95">
        <f ca="1"/>
        <v>-0.92366329065318098</v>
      </c>
      <c r="AF95" s="95">
        <f ca="1"/>
        <v>-0.88817573174695319</v>
      </c>
      <c r="AG95" s="95">
        <f ca="1"/>
        <v>-0.78782283604963077</v>
      </c>
      <c r="AH95" s="95">
        <f ca="1"/>
        <v>-0.90428049160767632</v>
      </c>
      <c r="AI95" s="95">
        <f ca="1"/>
        <v>-0.61149128032206679</v>
      </c>
      <c r="AW95" s="95">
        <f ca="1"/>
        <v>-1.1330059972020559</v>
      </c>
      <c r="AX95" s="95">
        <f ca="1"/>
        <v>0.44834578785651291</v>
      </c>
      <c r="AY95" s="95">
        <f ca="1"/>
        <v>0.96299051225164101</v>
      </c>
      <c r="AZ95" s="95">
        <f ca="1"/>
        <v>-1.1773964391252107</v>
      </c>
      <c r="BA95" s="95">
        <f ca="1"/>
        <v>-0.88919967343164141</v>
      </c>
      <c r="BB95" s="95">
        <f ca="1"/>
        <v>-0.27856907667637465</v>
      </c>
      <c r="BC95" s="95">
        <f ca="1"/>
        <v>0.13902755284943358</v>
      </c>
    </row>
    <row r="96" spans="23:55" ht="20" customHeight="1" x14ac:dyDescent="0.2">
      <c r="W96" s="95">
        <f ca="1"/>
        <v>9.7942693450105978E-2</v>
      </c>
      <c r="X96" s="95">
        <f ca="1"/>
        <v>0.1400564098488204</v>
      </c>
      <c r="Y96" s="95">
        <f ca="1"/>
        <v>-0.8787387051567126</v>
      </c>
      <c r="Z96" s="95">
        <f ca="1"/>
        <v>-0.19816895369453924</v>
      </c>
      <c r="AA96" s="95">
        <f ca="1"/>
        <v>-0.83059447855048729</v>
      </c>
      <c r="AB96" s="95">
        <f ca="1"/>
        <v>-0.51875395425607529</v>
      </c>
      <c r="AC96" s="95">
        <f ca="1"/>
        <v>-9.7344820639051477E-3</v>
      </c>
      <c r="AE96" s="95">
        <f ca="1"/>
        <v>6.2001833850181987E-2</v>
      </c>
      <c r="AF96" s="95">
        <f ca="1"/>
        <v>0.5338111769263707</v>
      </c>
      <c r="AG96" s="95">
        <f ca="1"/>
        <v>2.8174835405460452E-2</v>
      </c>
      <c r="AH96" s="95">
        <f ca="1"/>
        <v>0.17417305989778387</v>
      </c>
      <c r="AI96" s="95">
        <f ca="1"/>
        <v>5.6126959552065647E-2</v>
      </c>
      <c r="AW96" s="95">
        <f ca="1"/>
        <v>-0.59815826866060229</v>
      </c>
      <c r="AX96" s="95">
        <f ca="1"/>
        <v>0.82921273200238976</v>
      </c>
      <c r="AY96" s="95">
        <f ca="1"/>
        <v>-0.3509921083873957</v>
      </c>
      <c r="AZ96" s="95">
        <f ca="1"/>
        <v>-0.2429001641774961</v>
      </c>
      <c r="BA96" s="95">
        <f ca="1"/>
        <v>-1.6758922982381481</v>
      </c>
      <c r="BB96" s="95">
        <f ca="1"/>
        <v>4.7697841947701658E-2</v>
      </c>
      <c r="BC96" s="95">
        <f ca="1"/>
        <v>0.72101455239179912</v>
      </c>
    </row>
    <row r="97" spans="23:57" ht="20" customHeight="1" x14ac:dyDescent="0.2">
      <c r="W97" s="95">
        <f ca="1"/>
        <v>0.31768308376409138</v>
      </c>
      <c r="X97" s="95">
        <f ca="1"/>
        <v>-0.83631078324166763</v>
      </c>
      <c r="Y97" s="95">
        <f ca="1"/>
        <v>0.8460723553734173</v>
      </c>
      <c r="Z97" s="95">
        <f ca="1"/>
        <v>-0.60024025960297167</v>
      </c>
      <c r="AA97" s="95">
        <f ca="1"/>
        <v>0.24753139148495573</v>
      </c>
      <c r="AB97" s="95">
        <f ca="1"/>
        <v>-0.59293416944657551</v>
      </c>
      <c r="AC97" s="95">
        <f ca="1"/>
        <v>0.51830008211507783</v>
      </c>
      <c r="AE97" s="95">
        <f ca="1"/>
        <v>0.19238927906236891</v>
      </c>
      <c r="AF97" s="95">
        <f ca="1"/>
        <v>0.35557208770625126</v>
      </c>
      <c r="AG97" s="95">
        <f ca="1"/>
        <v>-0.45977729689846991</v>
      </c>
      <c r="AH97" s="95">
        <f ca="1"/>
        <v>0.57163092419293782</v>
      </c>
      <c r="AI97" s="95">
        <f ca="1"/>
        <v>-0.3091210462645364</v>
      </c>
      <c r="AW97" s="95">
        <f ca="1"/>
        <v>0.27453195074427278</v>
      </c>
      <c r="AX97" s="95">
        <f ca="1"/>
        <v>-1.5205777333682513</v>
      </c>
      <c r="AY97" s="95">
        <f ca="1"/>
        <v>8.1119715185512198E-2</v>
      </c>
      <c r="AZ97" s="95">
        <f ca="1"/>
        <v>-1.327064814215098</v>
      </c>
      <c r="BA97" s="95">
        <f ca="1"/>
        <v>0.62737222589705444</v>
      </c>
      <c r="BB97" s="95">
        <f ca="1"/>
        <v>-7.1128277773055304E-2</v>
      </c>
      <c r="BC97" s="95">
        <f ca="1"/>
        <v>1.2579937926797775</v>
      </c>
    </row>
    <row r="98" spans="23:57" ht="20" customHeight="1" x14ac:dyDescent="0.2">
      <c r="W98" s="95">
        <f ca="1"/>
        <v>0.90714504568554566</v>
      </c>
      <c r="X98" s="95">
        <f ca="1"/>
        <v>-0.706262816558898</v>
      </c>
      <c r="Y98" s="95">
        <f ca="1"/>
        <v>0.52117176179321967</v>
      </c>
      <c r="Z98" s="95">
        <f ca="1"/>
        <v>0.38907336746004662</v>
      </c>
      <c r="AA98" s="95">
        <f ca="1"/>
        <v>0.88009081234103004</v>
      </c>
      <c r="AB98" s="95">
        <f ca="1"/>
        <v>-0.74077191254748764</v>
      </c>
      <c r="AC98" s="95">
        <f ca="1"/>
        <v>-0.7761048312999641</v>
      </c>
      <c r="AE98" s="95">
        <f ca="1"/>
        <v>-1.8890610613796426</v>
      </c>
      <c r="AF98" s="95">
        <f ca="1"/>
        <v>-0.82865891024456284</v>
      </c>
      <c r="AG98" s="95">
        <f ca="1"/>
        <v>-3.1081389404291278</v>
      </c>
      <c r="AH98" s="95">
        <f ca="1"/>
        <v>-1.321345656105763</v>
      </c>
      <c r="AI98" s="95">
        <f ca="1"/>
        <v>-3.1386962645578866</v>
      </c>
      <c r="AW98" s="95">
        <f ca="1"/>
        <v>0.90476605574323699</v>
      </c>
      <c r="AX98" s="95">
        <f ca="1"/>
        <v>-0.70746053897786987</v>
      </c>
      <c r="AY98" s="95">
        <f ca="1"/>
        <v>0.55215638175664561</v>
      </c>
      <c r="AZ98" s="95">
        <f ca="1"/>
        <v>0.42703154207156629</v>
      </c>
      <c r="BA98" s="95">
        <f ca="1"/>
        <v>0.86240498692301859</v>
      </c>
      <c r="BB98" s="95">
        <f ca="1"/>
        <v>-0.75586972288880949</v>
      </c>
      <c r="BC98" s="95">
        <f ca="1"/>
        <v>-0.81761181119553394</v>
      </c>
    </row>
    <row r="99" spans="23:57" ht="20" customHeight="1" x14ac:dyDescent="0.2">
      <c r="W99" s="95">
        <f ca="1"/>
        <v>0.3507611081411548</v>
      </c>
      <c r="X99" s="95">
        <f ca="1"/>
        <v>0.25181453305894497</v>
      </c>
      <c r="Y99" s="95">
        <f ca="1"/>
        <v>0.25085863342212833</v>
      </c>
      <c r="Z99" s="95">
        <f ca="1"/>
        <v>-0.9382383094169453</v>
      </c>
      <c r="AA99" s="95">
        <f ca="1"/>
        <v>0.14106183362439761</v>
      </c>
      <c r="AB99" s="95">
        <f ca="1"/>
        <v>0.49614621823275806</v>
      </c>
      <c r="AC99" s="95">
        <f ca="1"/>
        <v>0.38713063121890956</v>
      </c>
      <c r="AE99" s="95">
        <f ca="1"/>
        <v>1.3922038923580713</v>
      </c>
      <c r="AF99" s="95">
        <f ca="1"/>
        <v>1.4333101638448025</v>
      </c>
      <c r="AG99" s="95">
        <f ca="1"/>
        <v>0.88201743323899406</v>
      </c>
      <c r="AH99" s="95">
        <f ca="1"/>
        <v>1.2305661502722351</v>
      </c>
      <c r="AI99" s="95">
        <f ca="1"/>
        <v>1.1446784670536196</v>
      </c>
      <c r="AW99" s="95">
        <f ca="1"/>
        <v>0.5193206714817602</v>
      </c>
      <c r="AX99" s="95">
        <f ca="1"/>
        <v>0.12847485574363601</v>
      </c>
      <c r="AY99" s="95">
        <f ca="1"/>
        <v>0.59336483936159412</v>
      </c>
      <c r="AZ99" s="95">
        <f ca="1"/>
        <v>-0.32949319545756994</v>
      </c>
      <c r="BA99" s="95">
        <f ca="1"/>
        <v>6.4950488709873702E-2</v>
      </c>
      <c r="BB99" s="95">
        <f ca="1"/>
        <v>9.0544621714960583E-2</v>
      </c>
      <c r="BC99" s="95">
        <f ca="1"/>
        <v>-0.38595536737270741</v>
      </c>
    </row>
    <row r="101" spans="23:57" ht="20" customHeight="1" x14ac:dyDescent="0.2">
      <c r="AE101" s="41" t="s">
        <v>66</v>
      </c>
    </row>
    <row r="102" spans="23:57" ht="20" customHeight="1" x14ac:dyDescent="0.2">
      <c r="AE102" s="95" cm="1">
        <f t="array" aca="1" ref="AE102:AI110" ca="1">EXP(_xlfn.ANCHORARRAY(AE91))</f>
        <v>2.6282153404352679</v>
      </c>
      <c r="AF102" s="95">
        <f ca="1"/>
        <v>1.9097727673063216</v>
      </c>
      <c r="AG102" s="95">
        <f ca="1"/>
        <v>13.995232905285034</v>
      </c>
      <c r="AH102" s="95">
        <f ca="1"/>
        <v>1.261104853655201</v>
      </c>
      <c r="AI102" s="95">
        <f ca="1"/>
        <v>15.727574012773726</v>
      </c>
    </row>
    <row r="103" spans="23:57" ht="20" customHeight="1" x14ac:dyDescent="0.2">
      <c r="AE103" s="95">
        <f ca="1"/>
        <v>1.2157988262057351</v>
      </c>
      <c r="AF103" s="95">
        <f ca="1"/>
        <v>2.0701587128968741</v>
      </c>
      <c r="AG103" s="95">
        <f ca="1"/>
        <v>9.5028380861653119E-2</v>
      </c>
      <c r="AH103" s="95">
        <f ca="1"/>
        <v>2.4218090548242865</v>
      </c>
      <c r="AI103" s="95">
        <f ca="1"/>
        <v>0.10709006757549937</v>
      </c>
    </row>
    <row r="104" spans="23:57" ht="20" customHeight="1" x14ac:dyDescent="0.2">
      <c r="AE104" s="95">
        <f ca="1"/>
        <v>8.2626406335958258</v>
      </c>
      <c r="AF104" s="95">
        <f ca="1"/>
        <v>11.636931051961232</v>
      </c>
      <c r="AG104" s="95">
        <f ca="1"/>
        <v>0.58384580289949495</v>
      </c>
      <c r="AH104" s="95">
        <f ca="1"/>
        <v>10.594192296686533</v>
      </c>
      <c r="AI104" s="95">
        <f ca="1"/>
        <v>0.69903215573675725</v>
      </c>
    </row>
    <row r="105" spans="23:57" ht="20" customHeight="1" x14ac:dyDescent="0.2">
      <c r="AE105" s="95">
        <f ca="1"/>
        <v>0.68765593528741187</v>
      </c>
      <c r="AF105" s="95">
        <f ca="1"/>
        <v>0.85011362468501894</v>
      </c>
      <c r="AG105" s="95">
        <f ca="1"/>
        <v>2.0396466028661671</v>
      </c>
      <c r="AH105" s="95">
        <f ca="1"/>
        <v>0.48497515391288265</v>
      </c>
      <c r="AI105" s="95">
        <f ca="1"/>
        <v>2.5441329283757383</v>
      </c>
    </row>
    <row r="106" spans="23:57" ht="20" customHeight="1" x14ac:dyDescent="0.2">
      <c r="AE106" s="95">
        <f ca="1"/>
        <v>0.39706182074663737</v>
      </c>
      <c r="AF106" s="95">
        <f ca="1"/>
        <v>0.41140558274259581</v>
      </c>
      <c r="AG106" s="95">
        <f ca="1"/>
        <v>0.45483396621262634</v>
      </c>
      <c r="AH106" s="95">
        <f ca="1"/>
        <v>0.40483306112363049</v>
      </c>
      <c r="AI106" s="95">
        <f ca="1"/>
        <v>0.54254118449886435</v>
      </c>
    </row>
    <row r="107" spans="23:57" ht="20" customHeight="1" x14ac:dyDescent="0.2">
      <c r="AE107" s="95">
        <f ca="1"/>
        <v>1.0639642958773623</v>
      </c>
      <c r="AF107" s="95">
        <f ca="1"/>
        <v>1.7054195944773587</v>
      </c>
      <c r="AG107" s="95">
        <f ca="1"/>
        <v>1.0285755001165016</v>
      </c>
      <c r="AH107" s="95">
        <f ca="1"/>
        <v>1.1902615345368892</v>
      </c>
      <c r="AI107" s="95">
        <f ca="1"/>
        <v>1.0577319643887295</v>
      </c>
    </row>
    <row r="108" spans="23:57" ht="20" customHeight="1" x14ac:dyDescent="0.2">
      <c r="AE108" s="95">
        <f ca="1"/>
        <v>1.2121422867467362</v>
      </c>
      <c r="AF108" s="95">
        <f ca="1"/>
        <v>1.4269967881284993</v>
      </c>
      <c r="AG108" s="95">
        <f ca="1"/>
        <v>0.63142424998867153</v>
      </c>
      <c r="AH108" s="95">
        <f ca="1"/>
        <v>1.7711533139454045</v>
      </c>
      <c r="AI108" s="95">
        <f ca="1"/>
        <v>0.73409190556502135</v>
      </c>
      <c r="AW108" s="95" cm="1">
        <f t="array" aca="1" ref="AW108:BC112" ca="1">TRANSPOSE(_xlfn.ANCHORARRAY(AE82))</f>
        <v>-0.29911019293768015</v>
      </c>
      <c r="AX108" s="95">
        <f ca="1"/>
        <v>-0.15859704413653244</v>
      </c>
      <c r="AY108" s="95">
        <f ca="1"/>
        <v>-0.72092150355057294</v>
      </c>
      <c r="AZ108" s="95">
        <f ca="1"/>
        <v>-0.97285552817988818</v>
      </c>
      <c r="BA108" s="95">
        <f ca="1"/>
        <v>0.38938992539833639</v>
      </c>
      <c r="BB108" s="95">
        <f ca="1"/>
        <v>0.73179540907247997</v>
      </c>
      <c r="BC108" s="95">
        <f ca="1"/>
        <v>1</v>
      </c>
      <c r="BD108" s="100"/>
      <c r="BE108" s="100"/>
    </row>
    <row r="109" spans="23:57" ht="20" customHeight="1" x14ac:dyDescent="0.2">
      <c r="AE109" s="95">
        <f ca="1"/>
        <v>0.15121372260586805</v>
      </c>
      <c r="AF109" s="95">
        <f ca="1"/>
        <v>0.43663445984969501</v>
      </c>
      <c r="AG109" s="95">
        <f ca="1"/>
        <v>4.468403766167537E-2</v>
      </c>
      <c r="AH109" s="95">
        <f ca="1"/>
        <v>0.26677607147025767</v>
      </c>
      <c r="AI109" s="95">
        <f ca="1"/>
        <v>4.3339264020066166E-2</v>
      </c>
      <c r="AW109" s="95">
        <f ca="1"/>
        <v>0.48185715003577778</v>
      </c>
      <c r="AX109" s="95">
        <f ca="1"/>
        <v>0.43515872844361797</v>
      </c>
      <c r="AY109" s="95">
        <f ca="1"/>
        <v>-0.8980761177290254</v>
      </c>
      <c r="AZ109" s="95">
        <f ca="1"/>
        <v>-0.98835895469804824</v>
      </c>
      <c r="BA109" s="95">
        <f ca="1"/>
        <v>0.70426539948909184</v>
      </c>
      <c r="BB109" s="95">
        <f ca="1"/>
        <v>-6.8100011276697431E-2</v>
      </c>
      <c r="BC109" s="95">
        <f ca="1"/>
        <v>1</v>
      </c>
      <c r="BD109" s="100"/>
      <c r="BE109" s="100"/>
    </row>
    <row r="110" spans="23:57" ht="20" customHeight="1" x14ac:dyDescent="0.2">
      <c r="AE110" s="95">
        <f ca="1"/>
        <v>4.0237081078591084</v>
      </c>
      <c r="AF110" s="95">
        <f ca="1"/>
        <v>4.1925542895772461</v>
      </c>
      <c r="AG110" s="95">
        <f ca="1"/>
        <v>2.4157684451471613</v>
      </c>
      <c r="AH110" s="95">
        <f ca="1"/>
        <v>3.4231670147232434</v>
      </c>
      <c r="AI110" s="95">
        <f ca="1"/>
        <v>3.1414311208316583</v>
      </c>
      <c r="AW110" s="95">
        <f ca="1"/>
        <v>-0.75041171159339826</v>
      </c>
      <c r="AX110" s="95">
        <f ca="1"/>
        <v>0.74457768088316734</v>
      </c>
      <c r="AY110" s="95">
        <f ca="1"/>
        <v>0.41501317453371001</v>
      </c>
      <c r="AZ110" s="95">
        <f ca="1"/>
        <v>-0.25124516495837251</v>
      </c>
      <c r="BA110" s="95">
        <f ca="1"/>
        <v>-0.82462793208488627</v>
      </c>
      <c r="BB110" s="95">
        <f ca="1"/>
        <v>0.69957726829332612</v>
      </c>
      <c r="BC110" s="95">
        <f ca="1"/>
        <v>1</v>
      </c>
      <c r="BD110" s="100"/>
      <c r="BE110" s="100"/>
    </row>
    <row r="111" spans="23:57" ht="20" customHeight="1" x14ac:dyDescent="0.2">
      <c r="AE111" s="41" t="s">
        <v>67</v>
      </c>
      <c r="AW111" s="95">
        <f ca="1"/>
        <v>-8.4032442034365898E-2</v>
      </c>
      <c r="AX111" s="95">
        <f ca="1"/>
        <v>-0.67756202650107367</v>
      </c>
      <c r="AY111" s="95">
        <f ca="1"/>
        <v>-0.91049651537078746</v>
      </c>
      <c r="AZ111" s="95">
        <f ca="1"/>
        <v>-0.94326171356966637</v>
      </c>
      <c r="BA111" s="95">
        <f ca="1"/>
        <v>0.43245954591015129</v>
      </c>
      <c r="BB111" s="95">
        <f ca="1"/>
        <v>0.65692105366360887</v>
      </c>
      <c r="BC111" s="95">
        <f ca="1"/>
        <v>1</v>
      </c>
      <c r="BD111" s="100"/>
      <c r="BE111" s="100"/>
    </row>
    <row r="112" spans="23:57" ht="20" customHeight="1" x14ac:dyDescent="0.2">
      <c r="AE112" s="95" cm="1">
        <f t="array" aca="1" ref="AE112:AI112" ca="1">_xlfn.BYCOL(_xlfn.ANCHORARRAY(AE102), _xlfn.LAMBDA(_xlpm.col, SUM(_xlpm.col)))</f>
        <v>19.642400969359954</v>
      </c>
      <c r="AF112" s="95">
        <f ca="1"/>
        <v>24.639986871624842</v>
      </c>
      <c r="AG112" s="95">
        <f ca="1"/>
        <v>21.289039891038986</v>
      </c>
      <c r="AH112" s="95">
        <f ca="1"/>
        <v>21.818272354878331</v>
      </c>
      <c r="AI112" s="95">
        <f ca="1"/>
        <v>24.596964603766061</v>
      </c>
      <c r="AW112" s="95">
        <f ca="1"/>
        <v>-0.71204417499021988</v>
      </c>
      <c r="AX112" s="95">
        <f ca="1"/>
        <v>0.81117066327243492</v>
      </c>
      <c r="AY112" s="95">
        <f ca="1"/>
        <v>0.42078777354730956</v>
      </c>
      <c r="AZ112" s="95">
        <f ca="1"/>
        <v>-0.50724385748457945</v>
      </c>
      <c r="BA112" s="95">
        <f ca="1"/>
        <v>-0.76547056126143076</v>
      </c>
      <c r="BB112" s="95">
        <f ca="1"/>
        <v>0.66421043152610548</v>
      </c>
      <c r="BC112" s="95">
        <f ca="1"/>
        <v>1</v>
      </c>
      <c r="BD112" s="100"/>
      <c r="BE112" s="100"/>
    </row>
    <row r="113" spans="31:57" ht="20" customHeight="1" x14ac:dyDescent="0.2">
      <c r="AE113" s="41" t="s">
        <v>68</v>
      </c>
    </row>
    <row r="114" spans="31:57" ht="20" customHeight="1" x14ac:dyDescent="0.2">
      <c r="AE114" s="95" cm="1">
        <f t="array" aca="1" ref="AE114:AI122" ca="1">_xlfn.ANCHORARRAY(AE102)/_xlfn.ANCHORARRAY(AE112)</f>
        <v>0.13380316105627835</v>
      </c>
      <c r="AF114" s="95">
        <f ca="1"/>
        <v>7.7507052956493114E-2</v>
      </c>
      <c r="AG114" s="95">
        <f ca="1"/>
        <v>0.65739145480092454</v>
      </c>
      <c r="AH114" s="95">
        <f ca="1"/>
        <v>5.7800399277408022E-2</v>
      </c>
      <c r="AI114" s="95">
        <f ca="1"/>
        <v>0.63941117394483971</v>
      </c>
      <c r="AK114" s="95">
        <v>1</v>
      </c>
      <c r="AL114" s="95">
        <v>0</v>
      </c>
      <c r="AM114" s="95">
        <v>0</v>
      </c>
      <c r="AN114" s="95">
        <v>0</v>
      </c>
      <c r="AO114" s="95">
        <v>0</v>
      </c>
      <c r="AQ114" s="95" cm="1">
        <f t="array" aca="1" ref="AQ114:AU122" ca="1">_xlfn.ANCHORARRAY(AE114)-AK114:AO122</f>
        <v>-0.86619683894372168</v>
      </c>
      <c r="AR114" s="95">
        <f ca="1"/>
        <v>7.7507052956493114E-2</v>
      </c>
      <c r="AS114" s="95">
        <f ca="1"/>
        <v>0.65739145480092454</v>
      </c>
      <c r="AT114" s="95">
        <f ca="1"/>
        <v>5.7800399277408022E-2</v>
      </c>
      <c r="AU114" s="95">
        <f ca="1"/>
        <v>0.63941117394483971</v>
      </c>
      <c r="AW114" s="95" cm="1">
        <f t="array" aca="1" ref="AW114:BC122" ca="1">-MMULT(_xlfn.ANCHORARRAY(AQ114),_xlfn.ANCHORARRAY(AW108))</f>
        <v>0.65702472605320617</v>
      </c>
      <c r="AX114" s="95">
        <f ca="1"/>
        <v>-1.1400913641605959</v>
      </c>
      <c r="AY114" s="95">
        <f ca="1"/>
        <v>-1.044108150990942</v>
      </c>
      <c r="AZ114" s="95">
        <f ca="1"/>
        <v>-0.2220548748549126</v>
      </c>
      <c r="BA114" s="95">
        <f ca="1"/>
        <v>1.2892602385971585</v>
      </c>
      <c r="BB114" s="95">
        <f ca="1"/>
        <v>-0.28341288784054358</v>
      </c>
      <c r="BC114" s="95">
        <f ca="1"/>
        <v>-0.56591324203594362</v>
      </c>
      <c r="BD114" s="100"/>
      <c r="BE114" s="100"/>
    </row>
    <row r="115" spans="31:57" ht="20" customHeight="1" x14ac:dyDescent="0.2">
      <c r="AE115" s="95">
        <f ca="1"/>
        <v>6.1896650419785815E-2</v>
      </c>
      <c r="AF115" s="95">
        <f ca="1"/>
        <v>8.4016226294375496E-2</v>
      </c>
      <c r="AG115" s="95">
        <f ca="1"/>
        <v>4.4637231809431018E-3</v>
      </c>
      <c r="AH115" s="95">
        <f ca="1"/>
        <v>0.11099912107765013</v>
      </c>
      <c r="AI115" s="95">
        <f ca="1"/>
        <v>4.3537919942813891E-3</v>
      </c>
      <c r="AK115" s="95">
        <v>0</v>
      </c>
      <c r="AL115" s="95">
        <v>0</v>
      </c>
      <c r="AM115" s="95">
        <v>0</v>
      </c>
      <c r="AN115" s="95">
        <v>0</v>
      </c>
      <c r="AO115" s="95">
        <v>0</v>
      </c>
      <c r="AQ115" s="95">
        <f ca="1"/>
        <v>6.1896650419785815E-2</v>
      </c>
      <c r="AR115" s="95">
        <f ca="1"/>
        <v>8.4016226294375496E-2</v>
      </c>
      <c r="AS115" s="95">
        <f ca="1"/>
        <v>4.4637231809431018E-3</v>
      </c>
      <c r="AT115" s="95">
        <f ca="1"/>
        <v>0.11099912107765013</v>
      </c>
      <c r="AU115" s="95">
        <f ca="1"/>
        <v>4.3537919942813891E-3</v>
      </c>
      <c r="AW115" s="95">
        <f ca="1"/>
        <v>-6.1926507209495267E-3</v>
      </c>
      <c r="AX115" s="95">
        <f ca="1"/>
        <v>4.1609764018926756E-2</v>
      </c>
      <c r="AY115" s="95">
        <f ca="1"/>
        <v>0.21745537920516808</v>
      </c>
      <c r="AZ115" s="95">
        <f ca="1"/>
        <v>0.2512858323999107</v>
      </c>
      <c r="BA115" s="95">
        <f ca="1"/>
        <v>-0.12426067234422951</v>
      </c>
      <c r="BB115" s="95">
        <f ca="1"/>
        <v>-0.11850639155879367</v>
      </c>
      <c r="BC115" s="95">
        <f ca="1"/>
        <v>-0.2657295129670359</v>
      </c>
      <c r="BD115" s="100"/>
      <c r="BE115" s="100"/>
    </row>
    <row r="116" spans="31:57" ht="20" customHeight="1" x14ac:dyDescent="0.2">
      <c r="AE116" s="95">
        <f ca="1"/>
        <v>0.42065329215530534</v>
      </c>
      <c r="AF116" s="95">
        <f ca="1"/>
        <v>0.47227829757337264</v>
      </c>
      <c r="AG116" s="95">
        <f ca="1"/>
        <v>2.7424712710752551E-2</v>
      </c>
      <c r="AH116" s="95">
        <f ca="1"/>
        <v>0.48556513203107876</v>
      </c>
      <c r="AI116" s="95">
        <f ca="1"/>
        <v>2.8419447968377688E-2</v>
      </c>
      <c r="AK116" s="95">
        <v>0</v>
      </c>
      <c r="AL116" s="95">
        <v>1</v>
      </c>
      <c r="AM116" s="95">
        <v>0</v>
      </c>
      <c r="AN116" s="95">
        <v>0</v>
      </c>
      <c r="AO116" s="95">
        <v>0</v>
      </c>
      <c r="AQ116" s="95">
        <f ca="1"/>
        <v>0.42065329215530534</v>
      </c>
      <c r="AR116" s="95">
        <f ca="1"/>
        <v>-0.52772170242662741</v>
      </c>
      <c r="AS116" s="95">
        <f ca="1"/>
        <v>2.7424712710752551E-2</v>
      </c>
      <c r="AT116" s="95">
        <f ca="1"/>
        <v>0.48556513203107876</v>
      </c>
      <c r="AU116" s="95">
        <f ca="1"/>
        <v>2.8419447968377688E-2</v>
      </c>
      <c r="AW116" s="95">
        <f ca="1"/>
        <v>0.46172711471863209</v>
      </c>
      <c r="AX116" s="95">
        <f ca="1"/>
        <v>0.5818847171520396</v>
      </c>
      <c r="AY116" s="95">
        <f ca="1"/>
        <v>0.24808893347847552</v>
      </c>
      <c r="AZ116" s="95">
        <f ca="1"/>
        <v>0.36697732591183024</v>
      </c>
      <c r="BA116" s="95">
        <f ca="1"/>
        <v>4.2240139937454582E-2</v>
      </c>
      <c r="BB116" s="95">
        <f ca="1"/>
        <v>-0.70081015945358138</v>
      </c>
      <c r="BC116" s="95">
        <f ca="1"/>
        <v>-0.43434088243888691</v>
      </c>
      <c r="BD116" s="100"/>
      <c r="BE116" s="100"/>
    </row>
    <row r="117" spans="31:57" ht="20" customHeight="1" x14ac:dyDescent="0.2">
      <c r="AE117" s="95">
        <f ca="1"/>
        <v>3.5008751545194582E-2</v>
      </c>
      <c r="AF117" s="95">
        <f ca="1"/>
        <v>3.4501383020784038E-2</v>
      </c>
      <c r="AG117" s="95">
        <f ca="1"/>
        <v>9.5807355019551552E-2</v>
      </c>
      <c r="AH117" s="95">
        <f ca="1"/>
        <v>2.222793565066335E-2</v>
      </c>
      <c r="AI117" s="95">
        <f ca="1"/>
        <v>0.1034328003214756</v>
      </c>
      <c r="AK117" s="95">
        <v>0</v>
      </c>
      <c r="AL117" s="95">
        <v>0</v>
      </c>
      <c r="AM117" s="95">
        <v>0</v>
      </c>
      <c r="AN117" s="95">
        <v>0</v>
      </c>
      <c r="AO117" s="95">
        <v>0</v>
      </c>
      <c r="AQ117" s="95">
        <f ca="1"/>
        <v>3.5008751545194582E-2</v>
      </c>
      <c r="AR117" s="95">
        <f ca="1"/>
        <v>3.4501383020784038E-2</v>
      </c>
      <c r="AS117" s="95">
        <f ca="1"/>
        <v>9.5807355019551552E-2</v>
      </c>
      <c r="AT117" s="95">
        <f ca="1"/>
        <v>2.222793565066335E-2</v>
      </c>
      <c r="AU117" s="95">
        <f ca="1"/>
        <v>0.1034328003214756</v>
      </c>
      <c r="AW117" s="95">
        <f ca="1"/>
        <v>0.14125828828390197</v>
      </c>
      <c r="AX117" s="95">
        <f ca="1"/>
        <v>-0.14963815977939823</v>
      </c>
      <c r="AY117" s="95">
        <f ca="1"/>
        <v>-6.8226844345863832E-3</v>
      </c>
      <c r="AZ117" s="95">
        <f ca="1"/>
        <v>0.16566175634604896</v>
      </c>
      <c r="BA117" s="95">
        <f ca="1"/>
        <v>0.11063731635667998</v>
      </c>
      <c r="BB117" s="95">
        <f ca="1"/>
        <v>-0.17359749063622365</v>
      </c>
      <c r="BC117" s="95">
        <f ca="1"/>
        <v>-0.29097822555766911</v>
      </c>
      <c r="BD117" s="100"/>
      <c r="BE117" s="100"/>
    </row>
    <row r="118" spans="31:57" ht="20" customHeight="1" x14ac:dyDescent="0.2">
      <c r="AE118" s="95">
        <f ca="1"/>
        <v>2.0214525778493749E-2</v>
      </c>
      <c r="AF118" s="95">
        <f ca="1"/>
        <v>1.6696664039880894E-2</v>
      </c>
      <c r="AG118" s="95">
        <f ca="1"/>
        <v>2.1364700735239626E-2</v>
      </c>
      <c r="AH118" s="95">
        <f ca="1"/>
        <v>1.8554771639978825E-2</v>
      </c>
      <c r="AI118" s="95">
        <f ca="1"/>
        <v>2.2057241340087769E-2</v>
      </c>
      <c r="AK118" s="95">
        <v>0</v>
      </c>
      <c r="AL118" s="95">
        <v>0</v>
      </c>
      <c r="AM118" s="95">
        <v>0</v>
      </c>
      <c r="AN118" s="95">
        <v>0</v>
      </c>
      <c r="AO118" s="95">
        <v>1</v>
      </c>
      <c r="AQ118" s="95">
        <f ca="1"/>
        <v>2.0214525778493749E-2</v>
      </c>
      <c r="AR118" s="95">
        <f ca="1"/>
        <v>1.6696664039880894E-2</v>
      </c>
      <c r="AS118" s="95">
        <f ca="1"/>
        <v>2.1364700735239626E-2</v>
      </c>
      <c r="AT118" s="95">
        <f ca="1"/>
        <v>1.8554771639978825E-2</v>
      </c>
      <c r="AU118" s="95">
        <f ca="1"/>
        <v>-0.9779427586599122</v>
      </c>
      <c r="AW118" s="95">
        <f ca="1"/>
        <v>-0.68074595660256054</v>
      </c>
      <c r="AX118" s="95">
        <f ca="1"/>
        <v>0.78588307047632289</v>
      </c>
      <c r="AY118" s="95">
        <f ca="1"/>
        <v>0.44910174025758087</v>
      </c>
      <c r="AZ118" s="95">
        <f ca="1"/>
        <v>-0.43701756327868951</v>
      </c>
      <c r="BA118" s="95">
        <f ca="1"/>
        <v>-0.75862286693896586</v>
      </c>
      <c r="BB118" s="95">
        <f ca="1"/>
        <v>0.60876864847096446</v>
      </c>
      <c r="BC118" s="95">
        <f ca="1"/>
        <v>0.90111209646631907</v>
      </c>
      <c r="BD118" s="100"/>
      <c r="BE118" s="100"/>
    </row>
    <row r="119" spans="31:57" ht="20" customHeight="1" x14ac:dyDescent="0.2">
      <c r="AE119" s="95">
        <f ca="1"/>
        <v>5.4166712996900575E-2</v>
      </c>
      <c r="AF119" s="95">
        <f ca="1"/>
        <v>6.9213494445538953E-2</v>
      </c>
      <c r="AG119" s="95">
        <f ca="1"/>
        <v>4.831479039829556E-2</v>
      </c>
      <c r="AH119" s="95">
        <f ca="1"/>
        <v>5.4553427291449109E-2</v>
      </c>
      <c r="AI119" s="95">
        <f ca="1"/>
        <v>4.3002540412111635E-2</v>
      </c>
      <c r="AK119" s="95">
        <v>0</v>
      </c>
      <c r="AL119" s="95">
        <v>0</v>
      </c>
      <c r="AM119" s="95">
        <v>1</v>
      </c>
      <c r="AN119" s="95">
        <v>0</v>
      </c>
      <c r="AO119" s="95">
        <v>0</v>
      </c>
      <c r="AQ119" s="95">
        <f ca="1"/>
        <v>5.4166712996900575E-2</v>
      </c>
      <c r="AR119" s="95">
        <f ca="1"/>
        <v>6.9213494445538953E-2</v>
      </c>
      <c r="AS119" s="95">
        <f ca="1"/>
        <v>-0.95168520960170444</v>
      </c>
      <c r="AT119" s="95">
        <f ca="1"/>
        <v>5.4553427291449109E-2</v>
      </c>
      <c r="AU119" s="95">
        <f ca="1"/>
        <v>4.3002540412111635E-2</v>
      </c>
      <c r="AW119" s="95">
        <f ca="1"/>
        <v>-0.69610096211070827</v>
      </c>
      <c r="AX119" s="95">
        <f ca="1"/>
        <v>0.68915632215356937</v>
      </c>
      <c r="AY119" s="95">
        <f ca="1"/>
        <v>0.5277465967693169</v>
      </c>
      <c r="AZ119" s="95">
        <f ca="1"/>
        <v>-4.4731210482956862E-2</v>
      </c>
      <c r="BA119" s="95">
        <f ca="1"/>
        <v>-0.84529781968766082</v>
      </c>
      <c r="BB119" s="95">
        <f ca="1"/>
        <v>0.56645179620377695</v>
      </c>
      <c r="BC119" s="95">
        <f ca="1"/>
        <v>0.73074903445570427</v>
      </c>
      <c r="BD119" s="100"/>
      <c r="BE119" s="100"/>
    </row>
    <row r="120" spans="31:57" ht="20" customHeight="1" x14ac:dyDescent="0.2">
      <c r="AE120" s="95">
        <f ca="1"/>
        <v>6.1710494996897201E-2</v>
      </c>
      <c r="AF120" s="95">
        <f ca="1"/>
        <v>5.7913861543969172E-2</v>
      </c>
      <c r="AG120" s="95">
        <f ca="1"/>
        <v>2.9659592598840098E-2</v>
      </c>
      <c r="AH120" s="95">
        <f ca="1"/>
        <v>8.117752336836119E-2</v>
      </c>
      <c r="AI120" s="95">
        <f ca="1"/>
        <v>2.9844816927232717E-2</v>
      </c>
      <c r="AK120" s="95">
        <v>0</v>
      </c>
      <c r="AL120" s="95">
        <v>0</v>
      </c>
      <c r="AM120" s="95">
        <v>0</v>
      </c>
      <c r="AN120" s="95">
        <v>1</v>
      </c>
      <c r="AO120" s="95">
        <v>0</v>
      </c>
      <c r="AQ120" s="95">
        <f ca="1"/>
        <v>6.1710494996897201E-2</v>
      </c>
      <c r="AR120" s="95">
        <f ca="1"/>
        <v>5.7913861543969172E-2</v>
      </c>
      <c r="AS120" s="95">
        <f ca="1"/>
        <v>2.9659592598840098E-2</v>
      </c>
      <c r="AT120" s="95">
        <f ca="1"/>
        <v>-0.91882247663163885</v>
      </c>
      <c r="AU120" s="95">
        <f ca="1"/>
        <v>2.9844816927232717E-2</v>
      </c>
      <c r="AW120" s="95">
        <f ca="1"/>
        <v>-4.3151133019818599E-2</v>
      </c>
      <c r="AX120" s="95">
        <f ca="1"/>
        <v>-0.68426695012658356</v>
      </c>
      <c r="AY120" s="95">
        <f ca="1"/>
        <v>-0.7649526401879051</v>
      </c>
      <c r="AZ120" s="95">
        <f ca="1"/>
        <v>-0.72682455461212636</v>
      </c>
      <c r="BA120" s="95">
        <f ca="1"/>
        <v>0.37984083441209876</v>
      </c>
      <c r="BB120" s="95">
        <f ca="1"/>
        <v>0.52180589167352021</v>
      </c>
      <c r="BC120" s="95">
        <f ca="1"/>
        <v>0.73969371056469968</v>
      </c>
      <c r="BD120" s="100"/>
      <c r="BE120" s="100"/>
    </row>
    <row r="121" spans="31:57" ht="20" customHeight="1" x14ac:dyDescent="0.2">
      <c r="AE121" s="95">
        <f ca="1"/>
        <v>7.6983319321169185E-3</v>
      </c>
      <c r="AF121" s="95">
        <f ca="1"/>
        <v>1.7720563818664967E-2</v>
      </c>
      <c r="AG121" s="95">
        <f ca="1"/>
        <v>2.0989221632528314E-3</v>
      </c>
      <c r="AH121" s="95">
        <f ca="1"/>
        <v>1.2227185871140224E-2</v>
      </c>
      <c r="AI121" s="95">
        <f ca="1"/>
        <v>1.7619761103949572E-3</v>
      </c>
      <c r="AK121" s="95">
        <v>0</v>
      </c>
      <c r="AL121" s="95">
        <v>0</v>
      </c>
      <c r="AM121" s="95">
        <v>0</v>
      </c>
      <c r="AN121" s="95">
        <v>0</v>
      </c>
      <c r="AO121" s="95">
        <v>0</v>
      </c>
      <c r="AQ121" s="95">
        <f ca="1"/>
        <v>7.6983319321169185E-3</v>
      </c>
      <c r="AR121" s="95">
        <f ca="1"/>
        <v>1.7720563818664967E-2</v>
      </c>
      <c r="AS121" s="95">
        <f ca="1"/>
        <v>2.0989221632528314E-3</v>
      </c>
      <c r="AT121" s="95">
        <f ca="1"/>
        <v>1.2227185871140224E-2</v>
      </c>
      <c r="AU121" s="95">
        <f ca="1"/>
        <v>1.7619761103949572E-3</v>
      </c>
      <c r="AW121" s="95">
        <f ca="1"/>
        <v>-2.378989942308687E-3</v>
      </c>
      <c r="AX121" s="95">
        <f ca="1"/>
        <v>-1.1977224189718791E-3</v>
      </c>
      <c r="AY121" s="95">
        <f ca="1"/>
        <v>3.0984619963425927E-2</v>
      </c>
      <c r="AZ121" s="95">
        <f ca="1"/>
        <v>3.7958174611519666E-2</v>
      </c>
      <c r="BA121" s="95">
        <f ca="1"/>
        <v>-1.7685825418011409E-2</v>
      </c>
      <c r="BB121" s="95">
        <f ca="1"/>
        <v>-1.50978103413218E-2</v>
      </c>
      <c r="BC121" s="95">
        <f ca="1"/>
        <v>-4.1506979895569895E-2</v>
      </c>
      <c r="BD121" s="100"/>
      <c r="BE121" s="100"/>
    </row>
    <row r="122" spans="31:57" ht="20" customHeight="1" x14ac:dyDescent="0.2">
      <c r="AE122" s="95">
        <f ca="1"/>
        <v>0.20484807911902739</v>
      </c>
      <c r="AF122" s="95">
        <f ca="1"/>
        <v>0.17015245630692072</v>
      </c>
      <c r="AG122" s="95">
        <f ca="1"/>
        <v>0.11347474839220016</v>
      </c>
      <c r="AH122" s="95">
        <f ca="1"/>
        <v>0.15689450379227024</v>
      </c>
      <c r="AI122" s="95">
        <f ca="1"/>
        <v>0.12771621098119851</v>
      </c>
      <c r="AK122" s="95">
        <v>0</v>
      </c>
      <c r="AL122" s="95">
        <v>0</v>
      </c>
      <c r="AM122" s="95">
        <v>0</v>
      </c>
      <c r="AN122" s="95">
        <v>0</v>
      </c>
      <c r="AO122" s="95">
        <v>0</v>
      </c>
      <c r="AQ122" s="95">
        <f ca="1"/>
        <v>0.20484807911902739</v>
      </c>
      <c r="AR122" s="95">
        <f ca="1"/>
        <v>0.17015245630692072</v>
      </c>
      <c r="AS122" s="95">
        <f ca="1"/>
        <v>0.11347474839220016</v>
      </c>
      <c r="AT122" s="95">
        <f ca="1"/>
        <v>0.15689450379227024</v>
      </c>
      <c r="AU122" s="95">
        <f ca="1"/>
        <v>0.12771621098119851</v>
      </c>
      <c r="AW122" s="95">
        <f ca="1"/>
        <v>0.16855956334060546</v>
      </c>
      <c r="AX122" s="95">
        <f ca="1"/>
        <v>-0.12333967731530895</v>
      </c>
      <c r="AY122" s="95">
        <f ca="1"/>
        <v>0.34250620593946579</v>
      </c>
      <c r="AZ122" s="95">
        <f ca="1"/>
        <v>0.60874511395937536</v>
      </c>
      <c r="BA122" s="95">
        <f ca="1"/>
        <v>-7.6111344914523912E-2</v>
      </c>
      <c r="BB122" s="95">
        <f ca="1"/>
        <v>-0.40560159651779748</v>
      </c>
      <c r="BC122" s="95">
        <f ca="1"/>
        <v>-0.77308599859161697</v>
      </c>
      <c r="BD122" s="100"/>
      <c r="BE122" s="100"/>
    </row>
  </sheetData>
  <conditionalFormatting sqref="D7:H11">
    <cfRule type="colorScale" priority="1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D13:H17">
    <cfRule type="colorScale" priority="8">
      <colorScale>
        <cfvo type="num" val="-1"/>
        <cfvo type="num" val="1"/>
        <color theme="1" tint="0.14999847407452621"/>
        <color theme="0" tint="-4.9989318521683403E-2"/>
      </colorScale>
    </cfRule>
  </conditionalFormatting>
  <conditionalFormatting sqref="I7:M11">
    <cfRule type="colorScale" priority="1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I13:M17">
    <cfRule type="colorScale" priority="7">
      <colorScale>
        <cfvo type="num" val="-1"/>
        <cfvo type="num" val="1"/>
        <color theme="1" tint="0.14999847407452621"/>
        <color theme="0" tint="-4.9989318521683403E-2"/>
      </colorScale>
    </cfRule>
  </conditionalFormatting>
  <conditionalFormatting sqref="N7:R11">
    <cfRule type="colorScale" priority="1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N13:R17">
    <cfRule type="colorScale" priority="6">
      <colorScale>
        <cfvo type="num" val="-1"/>
        <cfvo type="num" val="1"/>
        <color theme="1" tint="0.14999847407452621"/>
        <color theme="0" tint="-4.9989318521683403E-2"/>
      </colorScale>
    </cfRule>
  </conditionalFormatting>
  <conditionalFormatting sqref="S7:W11">
    <cfRule type="colorScale" priority="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S13:W17">
    <cfRule type="colorScale" priority="3">
      <colorScale>
        <cfvo type="num" val="-1"/>
        <cfvo type="num" val="1"/>
        <color theme="1" tint="0.14999847407452621"/>
        <color theme="0" tint="-4.9989318521683403E-2"/>
      </colorScale>
    </cfRule>
  </conditionalFormatting>
  <conditionalFormatting sqref="X7:AB11">
    <cfRule type="colorScale" priority="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X13:AB17">
    <cfRule type="colorScale" priority="1">
      <colorScale>
        <cfvo type="num" val="-1"/>
        <cfvo type="num" val="1"/>
        <color theme="1" tint="0.14999847407452621"/>
        <color theme="0" tint="-4.9989318521683403E-2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tinyDigits</vt:lpstr>
      <vt:lpstr>Architect</vt:lpstr>
      <vt:lpstr>Blueprint</vt:lpstr>
      <vt:lpstr>Helper</vt:lpstr>
      <vt:lpstr>Manual</vt:lpstr>
      <vt:lpstr>batch</vt:lpstr>
      <vt:lpstr>dim_0</vt:lpstr>
      <vt:lpstr>dim_1</vt:lpstr>
      <vt:lpstr>dim_2</vt:lpstr>
      <vt:lpstr>dim_3</vt:lpstr>
      <vt:lpstr>tinyDigitsInfo</vt:lpstr>
      <vt:lpstr>tinyDigits!tinyDigitsSample1</vt:lpstr>
      <vt:lpstr>Weights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Jubair</cp:lastModifiedBy>
  <dcterms:created xsi:type="dcterms:W3CDTF">2025-11-04T01:32:45Z</dcterms:created>
  <dcterms:modified xsi:type="dcterms:W3CDTF">2025-11-27T06:37:57Z</dcterms:modified>
</cp:coreProperties>
</file>