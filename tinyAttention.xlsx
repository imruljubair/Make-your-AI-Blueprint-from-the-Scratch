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moju3572_colorado_edu/Documents/LAB/Research/ABH/tinyAttention/"/>
    </mc:Choice>
  </mc:AlternateContent>
  <xr:revisionPtr revIDLastSave="35161" documentId="8_{EC21EFF2-6F4F-A849-836A-901BA756A85E}" xr6:coauthVersionLast="47" xr6:coauthVersionMax="47" xr10:uidLastSave="{362AAFA7-A62B-3D4F-96C8-7D4FC90140B3}"/>
  <bookViews>
    <workbookView xWindow="0" yWindow="740" windowWidth="29400" windowHeight="16980" activeTab="2" xr2:uid="{00000000-000D-0000-FFFF-FFFF00000000}"/>
  </bookViews>
  <sheets>
    <sheet name="Design2" sheetId="11" r:id="rId1"/>
    <sheet name="ABH" sheetId="12" r:id="rId2"/>
    <sheet name="Design3" sheetId="5" r:id="rId3"/>
  </sheets>
  <definedNames>
    <definedName name="A">ABH!$C$149:$I$152</definedName>
    <definedName name="AT">#REF!</definedName>
    <definedName name="K">ABH!$I$68:$O$80</definedName>
    <definedName name="KT">ABH!$C$93:$O$99</definedName>
    <definedName name="PE">ABH!$C$23:$I$27</definedName>
    <definedName name="Q">ABH!$I$51:$O$63</definedName>
    <definedName name="QT">#REF!</definedName>
    <definedName name="S">#REF!</definedName>
    <definedName name="U">#REF!</definedName>
    <definedName name="V">ABH!$C$118:$I$121</definedName>
    <definedName name="V_Q">#REF!</definedName>
    <definedName name="W_K">ABH!$C$68:$G$80</definedName>
    <definedName name="W_Q">ABH!$C$51:$G$63</definedName>
    <definedName name="W_S">#REF!</definedName>
    <definedName name="W_V">ABH!$C$85:$G$88</definedName>
    <definedName name="X">ABH!$C$42:$I$46</definedName>
    <definedName name="X_">#REF!</definedName>
    <definedName name="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12" l="1" a="1"/>
  <c r="C85" i="12" s="1"/>
  <c r="C68" i="12" a="1"/>
  <c r="C68" i="12" s="1"/>
  <c r="C51" i="12" a="1"/>
  <c r="C51" i="12" s="1"/>
  <c r="C23" i="12" a="1"/>
  <c r="C23" i="12" s="1"/>
  <c r="C20" i="12" a="1"/>
  <c r="C20" i="12" s="1"/>
  <c r="C11" i="12" a="1"/>
  <c r="C11" i="12" s="1"/>
  <c r="C6" i="12" a="1"/>
  <c r="C6" i="12" s="1"/>
  <c r="C30" i="12" l="1" a="1"/>
  <c r="C30" i="12" s="1"/>
  <c r="C39" i="12" l="1" a="1"/>
  <c r="C39" i="12" s="1"/>
  <c r="C42" i="12" s="1" a="1"/>
  <c r="C42" i="12" s="1"/>
  <c r="I85" i="12" s="1" a="1"/>
  <c r="I85" i="12" s="1"/>
  <c r="C118" i="12" s="1" a="1"/>
  <c r="C118" i="12" s="1"/>
  <c r="I51" i="12" l="1" a="1"/>
  <c r="I51" i="12" s="1"/>
  <c r="I68" i="12" a="1"/>
  <c r="I68" i="12" s="1"/>
  <c r="C93" i="12" s="1" a="1"/>
  <c r="C93" i="12" s="1"/>
  <c r="Q93" i="12" s="1" a="1"/>
  <c r="Q93" i="12" s="1"/>
  <c r="C104" i="12" l="1" a="1"/>
  <c r="C104" i="12" s="1"/>
  <c r="C107" i="12" s="1" a="1"/>
  <c r="C107" i="12" s="1"/>
  <c r="K118" i="12" s="1" a="1"/>
  <c r="K118" i="12" s="1"/>
  <c r="C126" i="12" l="1" a="1"/>
  <c r="C126" i="12" s="1"/>
  <c r="C129" i="12" a="1"/>
  <c r="C129" i="12" s="1"/>
  <c r="C132" i="12" l="1" a="1"/>
  <c r="C132" i="12" s="1"/>
  <c r="C140" i="12" l="1" a="1"/>
  <c r="C140" i="12" s="1"/>
  <c r="C146" i="12" a="1"/>
  <c r="C146" i="12" s="1"/>
  <c r="C149" i="12" l="1" a="1"/>
  <c r="C149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tc={C58908EC-E062-2E4C-B2B0-A360B8BE22C6}</author>
    <author>tc={68C8064F-0C0B-F746-B6DC-E27ADAA36CF6}</author>
    <author>tc={8EE024A6-2E24-2340-83CF-08C23CC3737F}</author>
    <author>tc={192867C5-C5A3-1E45-88DA-B319A7209812}</author>
  </authors>
  <commentList>
    <comment ref="B8" authorId="0" shapeId="0" xr:uid="{C58908EC-E062-2E4C-B2B0-A360B8BE22C6}">
      <text>
        <t>[Threaded comment]
Your version of Excel allows you to read this threaded comment; however, any edits to it will get removed if the file is opened in a newer version of Excel. Learn more: https://go.microsoft.com/fwlink/?linkid=870924
Comment:
    Token embedding is the process of converting discrete tokens (like words, characters, or subwords) into continuous numerical vectors that a neural network can understand. Each token is assigned a learned vector (usually dense and low-dimensional) that captures its semantic or contextual meaning. These vectors are stored in an embedding matrix, and during training, they are adjusted so that similar tokens have similar vector representations.</t>
      </text>
    </comment>
    <comment ref="B17" authorId="1" shapeId="0" xr:uid="{68C8064F-0C0B-F746-B6DC-E27ADAA36CF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Positional encoding is a technique used in Transformer models to give each token information about its position in a sequence, since Transformers do not inherently process data in order like RNNs do.It adds or concatenates a position - dependent vector to each token’s embedding, allowing the model to capture the notion of word order.</t>
      </text>
    </comment>
    <comment ref="B123" authorId="2" shapeId="0" xr:uid="{8EE024A6-2E24-2340-83CF-08C23CC3737F}">
      <text>
        <t>[Threaded comment]
Your version of Excel allows you to read this threaded comment; however, any edits to it will get removed if the file is opened in a newer version of Excel. Learn more: https://go.microsoft.com/fwlink/?linkid=870924
Comment:
    Layer normalization is a technique that stabilizes and speeds up training by normalizing the features within each layer for every input sample. It works by making the activations in a layer have zero mean and unit variance across features(not across the batch).</t>
      </text>
    </comment>
    <comment ref="B137" authorId="3" shapeId="0" xr:uid="{192867C5-C5A3-1E45-88DA-B319A7209812}">
      <text>
        <t>[Threaded comment]
Your version of Excel allows you to read this threaded comment; however, any edits to it will get removed if the file is opened in a newer version of Excel. Learn more: https://go.microsoft.com/fwlink/?linkid=870924
Comment:
    Softmax is a function that converts a vector of real numbers into a probability distribution, where each value lies between 0 and 1 and all values sum to 1. It highlights the largest values while suppressing smaller ones, making it useful for classification tasks.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<sst xmlns="http://schemas.openxmlformats.org/spreadsheetml/2006/main" count="145" uniqueCount="84">
  <si>
    <t>In</t>
  </si>
  <si>
    <t>Ops</t>
  </si>
  <si>
    <t>Out</t>
  </si>
  <si>
    <t>Embed</t>
  </si>
  <si>
    <t>X</t>
  </si>
  <si>
    <t>W_Q*</t>
  </si>
  <si>
    <t>W_K*</t>
  </si>
  <si>
    <t>W_V*</t>
  </si>
  <si>
    <t>Q</t>
  </si>
  <si>
    <t>K^T*</t>
  </si>
  <si>
    <t>V*</t>
  </si>
  <si>
    <t>A</t>
  </si>
  <si>
    <t>PE+</t>
  </si>
  <si>
    <t>Positions</t>
  </si>
  <si>
    <t>PE</t>
  </si>
  <si>
    <t>W_Q</t>
  </si>
  <si>
    <t>W_K</t>
  </si>
  <si>
    <t>W_V</t>
  </si>
  <si>
    <t>V</t>
  </si>
  <si>
    <t>K^T</t>
  </si>
  <si>
    <t>e</t>
  </si>
  <si>
    <t>X = Embed (X)</t>
  </si>
  <si>
    <t>X = PE+ (X)</t>
  </si>
  <si>
    <t>Q = W_Q* (X)</t>
  </si>
  <si>
    <t>K = W_K* (X)</t>
  </si>
  <si>
    <t>V = W_V* (X)</t>
  </si>
  <si>
    <t>A = K^T* (Q)</t>
  </si>
  <si>
    <t>A = V* (A)</t>
  </si>
  <si>
    <t>👇 Check ABH sheet.</t>
  </si>
  <si>
    <t>✓</t>
  </si>
  <si>
    <t>Softmax</t>
  </si>
  <si>
    <t>A = Softmax (A)</t>
  </si>
  <si>
    <t>Exp</t>
  </si>
  <si>
    <t>Layer-Norm</t>
  </si>
  <si>
    <t>Mean</t>
  </si>
  <si>
    <t>Std</t>
  </si>
  <si>
    <t>X, dim d=4</t>
  </si>
  <si>
    <t>Q, dim dq=3</t>
  </si>
  <si>
    <t>K, dim dk=3</t>
  </si>
  <si>
    <t>X=Beautiful</t>
  </si>
  <si>
    <t>Sum (Exp)</t>
  </si>
  <si>
    <t>V, dim dv=4</t>
  </si>
  <si>
    <t># 1</t>
  </si>
  <si>
    <t># 2</t>
  </si>
  <si>
    <t># 3</t>
  </si>
  <si>
    <t># 4</t>
  </si>
  <si>
    <t># 5</t>
  </si>
  <si>
    <t># 6</t>
  </si>
  <si>
    <t># 7</t>
  </si>
  <si>
    <t># 8</t>
  </si>
  <si>
    <t># 9</t>
  </si>
  <si>
    <t>d</t>
  </si>
  <si>
    <t>Token ID</t>
  </si>
  <si>
    <t>L1-Normalize</t>
  </si>
  <si>
    <t>L1</t>
  </si>
  <si>
    <t>n</t>
  </si>
  <si>
    <t>s</t>
  </si>
  <si>
    <t>A = Layer-Norm (A)</t>
  </si>
  <si>
    <t># 10</t>
  </si>
  <si>
    <t>A = L1-Normalize (A)</t>
  </si>
  <si>
    <t># 11</t>
  </si>
  <si>
    <t>X, dim d=5</t>
  </si>
  <si>
    <t>X = nn.Embedding((26, 5)(X)</t>
  </si>
  <si>
    <t xml:space="preserve"> Embed</t>
  </si>
  <si>
    <t xml:space="preserve"> PE+</t>
  </si>
  <si>
    <t xml:space="preserve"> W_Q*</t>
  </si>
  <si>
    <t xml:space="preserve"> W_K*</t>
  </si>
  <si>
    <t xml:space="preserve"> W_V*</t>
  </si>
  <si>
    <t xml:space="preserve"> K^T*</t>
  </si>
  <si>
    <t xml:space="preserve"> L1-Normalize</t>
  </si>
  <si>
    <t xml:space="preserve"> V*</t>
  </si>
  <si>
    <t xml:space="preserve"> Layer-Norm</t>
  </si>
  <si>
    <t xml:space="preserve"> Softmax</t>
  </si>
  <si>
    <t>L2-Normalize</t>
  </si>
  <si>
    <t xml:space="preserve"> L2-Normalize</t>
  </si>
  <si>
    <t>L2</t>
  </si>
  <si>
    <t>X = L2-Normalize (X)</t>
  </si>
  <si>
    <t>Q, dim dq=13</t>
  </si>
  <si>
    <t>K, dim dk=13</t>
  </si>
  <si>
    <t>X=Friends</t>
  </si>
  <si>
    <t>F</t>
  </si>
  <si>
    <t>r</t>
  </si>
  <si>
    <t>i</t>
  </si>
  <si>
    <t>X = torch.tensor([5, 17, 8, 4, 13, 3, 18])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</si>
</sst>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9"/>
      <color rgb="FF0000FF"/>
      <name val="Ink Free"/>
    </font>
    <font>
      <b/>
      <sz val="8"/>
      <color rgb="FF808080"/>
      <name val="Ink Free"/>
    </font>
    <font>
      <sz val="8"/>
      <color theme="1"/>
      <name val="Aptos Narrow"/>
      <family val="2"/>
      <scheme val="minor"/>
    </font>
    <font>
      <sz val="8"/>
      <color rgb="FFFFFFFF"/>
      <name val="Aptos Narrow"/>
      <family val="2"/>
      <scheme val="minor"/>
    </font>
    <font>
      <sz val="8"/>
      <color rgb="FF808080"/>
      <name val="Courier New"/>
      <family val="1"/>
    </font>
    <font>
      <i/>
      <sz val="8"/>
      <color rgb="FF80808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AF2D1"/>
        <bgColor indexed="64"/>
      </patternFill>
    </fill>
    <fill>
      <patternFill patternType="solid">
        <fgColor rgb="FFDABB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88F2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7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ashed">
        <color auto="1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4" borderId="1" xfId="0" applyFont="1" applyFill="1" applyBorder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5" borderId="2" xfId="0" applyFont="1" applyFill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7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0" fontId="5" fillId="8" borderId="3" xfId="0" applyFont="1" applyFill="1" applyBorder="1" applyAlignment="1">
      <alignment horizontal="right"/>
    </xf>
    <xf numFmtId="0" fontId="5" fillId="10" borderId="3" xfId="0" applyFont="1" applyFill="1" applyBorder="1" applyAlignment="1">
      <alignment horizontal="right"/>
    </xf>
    <xf numFmtId="0" fontId="5" fillId="4" borderId="3" xfId="0" applyFont="1" applyFill="1" applyBorder="1" applyAlignment="1">
      <alignment horizontal="right"/>
    </xf>
    <xf numFmtId="0" fontId="5" fillId="7" borderId="3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5" fillId="6" borderId="3" xfId="0" applyFont="1" applyFill="1" applyBorder="1" applyAlignment="1">
      <alignment horizontal="right"/>
    </xf>
    <xf numFmtId="0" fontId="5" fillId="9" borderId="3" xfId="0" applyFont="1" applyFill="1" applyBorder="1" applyAlignment="1">
      <alignment horizontal="right"/>
    </xf>
    <xf numFmtId="0" fontId="5" fillId="11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660930</xdr:colOff>
      <xdr:row>1</xdr:row>
      <xdr:rowOff>187854</xdr:rowOff>
    </xdr:from>
    <xdr:to>
      <xdr:col>5</xdr:col>
      <xdr:colOff>606955</xdr:colOff>
      <xdr:row>3</xdr:row>
      <xdr:rowOff>96308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E8895C06-F0AC-1644-A934-8251F1B8E9EE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vMzY1Y29sb3JhZG9lZHUtbXkuc2hhcmVwb2ludC5jb20vOnU6L2cvcGVyc29uYWwvbW9qdTM1NzJfY29sb3JhZG9fZWR1L0VlVi1XdEFZNHpCSnFrRFRMT1VxS1dRQmpoSGdWQWE5b0c4M3k4Zm5HeXdGc3c&quot;}"/>
            </a:ext>
          </a:extLst>
        </xdr:cNvPr>
        <xdr:cNvSpPr/>
      </xdr:nvSpPr>
      <xdr:spPr>
        <a:xfrm>
          <a:off x="3961607" y="379677"/>
          <a:ext cx="1295400" cy="292100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automate_oct15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43701</xdr:colOff>
      <xdr:row>1</xdr:row>
      <xdr:rowOff>141943</xdr:rowOff>
    </xdr:from>
    <xdr:to>
      <xdr:col>4</xdr:col>
      <xdr:colOff>616324</xdr:colOff>
      <xdr:row>2</xdr:row>
      <xdr:rowOff>128025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3970A5D4-3D32-CB44-9B48-E22EFFD83DB8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vMzY1Y29sb3JhZG9lZHUtbXkuc2hhcmVwb2ludC5jb20vOnU6L2cvcGVyc29uYWwvbW9qdTM1NzJfY29sb3JhZG9fZWR1L0VjdzdVLUo5ODI5UHRCbXhiN001MjVRQk5GdVdCR2lUSURuY3JuM1Y5d3RSMXc&quot;}"/>
            </a:ext>
          </a:extLst>
        </xdr:cNvPr>
        <xdr:cNvSpPr/>
      </xdr:nvSpPr>
      <xdr:spPr>
        <a:xfrm>
          <a:off x="4012451" y="331419"/>
          <a:ext cx="572623" cy="175558"/>
        </a:xfrm>
        <a:prstGeom prst="roundRect">
          <a:avLst>
            <a:gd name="adj" fmla="val 20831"/>
          </a:avLst>
        </a:prstGeom>
        <a:solidFill>
          <a:schemeClr val="accent1">
            <a:lumMod val="40000"/>
            <a:lumOff val="60000"/>
          </a:schemeClr>
        </a:solidFill>
        <a:ln w="19050" cap="flat" cmpd="sng" algn="ctr">
          <a:noFill/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Run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mad Jubair" id="{F3955FA5-1A8E-6847-AE71-3FC0D3F8D3D4}" userId="S::moju3572@colorado.edu::d4a1bace-42e6-4cd5-9739-59d8795539a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5-11-09T11:35:52.53" personId="{F3955FA5-1A8E-6847-AE71-3FC0D3F8D3D4}" id="{C58908EC-E062-2E4C-B2B0-A360B8BE22C6}">
    <text>Token embedding is the process of converting discrete tokens (like words, characters, or subwords) into continuous numerical vectors that a neural network can understand. Each token is assigned a learned vector (usually dense and low-dimensional) that captures its semantic or contextual meaning. These vectors are stored in an embedding matrix, and during training, they are adjusted so that similar tokens have similar vector representations.</text>
  </threadedComment>
  <threadedComment ref="B17" dT="2025-11-09T11:35:52.70" personId="{F3955FA5-1A8E-6847-AE71-3FC0D3F8D3D4}" id="{68C8064F-0C0B-F746-B6DC-E27ADAA36CF6}">
    <text>Positional encoding is a technique used in Transformer models to give each token information about its position in a sequence, since Transformers do not inherently process data in order like RNNs do.It adds or concatenates a position - dependent vector to each token’s embedding, allowing the model to capture the notion of word order.</text>
  </threadedComment>
  <threadedComment ref="B123" dT="2025-11-09T11:35:54.03" personId="{F3955FA5-1A8E-6847-AE71-3FC0D3F8D3D4}" id="{8EE024A6-2E24-2340-83CF-08C23CC3737F}">
    <text>Layer normalization is a technique that stabilizes and speeds up training by normalizing the features within each layer for every input sample. It works by making the activations in a layer have zero mean and unit variance across features(not across the batch).</text>
  </threadedComment>
  <threadedComment ref="B137" dT="2025-11-09T11:35:54.13" personId="{F3955FA5-1A8E-6847-AE71-3FC0D3F8D3D4}" id="{192867C5-C5A3-1E45-88DA-B319A7209812}">
    <text>Softmax is a function that converts a vector of real numbers into a probability distribution, where each value lies between 0 and 1 and all values sum to 1. It highlights the largest values while suppressing smaller ones, making it useful for classification tasks.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6CFE-AF62-244C-87F1-C0512ED91F7E}">
  <dimension ref="A1:E34"/>
  <sheetViews>
    <sheetView showGridLines="0" zoomScale="150" workbookViewId="0">
      <selection activeCell="A2" sqref="A2"/>
    </sheetView>
  </sheetViews>
  <sheetFormatPr baseColWidth="10" defaultColWidth="8.83203125" defaultRowHeight="15" x14ac:dyDescent="0.2"/>
  <cols>
    <col min="1" max="1" width="16.83203125" style="1" customWidth="1"/>
    <col min="2" max="2" width="14" style="1" customWidth="1"/>
    <col min="3" max="3" width="12.5" style="1" customWidth="1"/>
    <col min="4" max="16384" width="8.83203125" style="1"/>
  </cols>
  <sheetData>
    <row r="1" spans="1:5" x14ac:dyDescent="0.2">
      <c r="A1" s="3" t="s">
        <v>0</v>
      </c>
      <c r="B1" s="3" t="s">
        <v>1</v>
      </c>
      <c r="C1" s="3" t="s">
        <v>2</v>
      </c>
      <c r="E1" s="8" t="s">
        <v>28</v>
      </c>
    </row>
    <row r="2" spans="1:5" x14ac:dyDescent="0.2">
      <c r="A2" s="4" t="s">
        <v>79</v>
      </c>
      <c r="B2" s="4" t="s">
        <v>3</v>
      </c>
      <c r="C2" s="5" t="s">
        <v>61</v>
      </c>
      <c r="D2" t="s">
        <v>29</v>
      </c>
      <c r="E2" s="2"/>
    </row>
    <row r="3" spans="1:5" x14ac:dyDescent="0.2">
      <c r="A3" s="4" t="s">
        <v>4</v>
      </c>
      <c r="B3" s="4" t="s">
        <v>12</v>
      </c>
      <c r="C3" s="5" t="s">
        <v>4</v>
      </c>
      <c r="D3" t="s">
        <v>29</v>
      </c>
      <c r="E3" s="2"/>
    </row>
    <row r="4" spans="1:5" x14ac:dyDescent="0.2">
      <c r="A4" s="4" t="s">
        <v>4</v>
      </c>
      <c r="B4" s="4" t="s">
        <v>73</v>
      </c>
      <c r="C4" s="5" t="s">
        <v>4</v>
      </c>
      <c r="D4" t="s">
        <v>29</v>
      </c>
      <c r="E4" s="2"/>
    </row>
    <row r="5" spans="1:5" x14ac:dyDescent="0.2">
      <c r="A5" s="4" t="s">
        <v>4</v>
      </c>
      <c r="B5" s="4" t="s">
        <v>5</v>
      </c>
      <c r="C5" s="5" t="s">
        <v>77</v>
      </c>
      <c r="D5" t="s">
        <v>29</v>
      </c>
      <c r="E5" s="2"/>
    </row>
    <row r="6" spans="1:5" x14ac:dyDescent="0.2">
      <c r="A6" s="4" t="s">
        <v>4</v>
      </c>
      <c r="B6" s="4" t="s">
        <v>6</v>
      </c>
      <c r="C6" s="5" t="s">
        <v>78</v>
      </c>
      <c r="D6" t="s">
        <v>29</v>
      </c>
      <c r="E6" s="7"/>
    </row>
    <row r="7" spans="1:5" x14ac:dyDescent="0.2">
      <c r="A7" s="4" t="s">
        <v>4</v>
      </c>
      <c r="B7" s="4" t="s">
        <v>7</v>
      </c>
      <c r="C7" s="5" t="s">
        <v>41</v>
      </c>
      <c r="D7" t="s">
        <v>29</v>
      </c>
      <c r="E7" s="2"/>
    </row>
    <row r="8" spans="1:5" x14ac:dyDescent="0.2">
      <c r="A8" s="6" t="s">
        <v>8</v>
      </c>
      <c r="B8" s="6" t="s">
        <v>9</v>
      </c>
      <c r="C8" s="5" t="s">
        <v>11</v>
      </c>
      <c r="D8" t="s">
        <v>29</v>
      </c>
      <c r="E8" s="2"/>
    </row>
    <row r="9" spans="1:5" x14ac:dyDescent="0.2">
      <c r="A9" s="6" t="s">
        <v>11</v>
      </c>
      <c r="B9" s="6" t="s">
        <v>53</v>
      </c>
      <c r="C9" s="5" t="s">
        <v>11</v>
      </c>
      <c r="D9" t="s">
        <v>29</v>
      </c>
      <c r="E9" s="2"/>
    </row>
    <row r="10" spans="1:5" x14ac:dyDescent="0.2">
      <c r="A10" s="4" t="s">
        <v>11</v>
      </c>
      <c r="B10" s="4" t="s">
        <v>10</v>
      </c>
      <c r="C10" s="5" t="s">
        <v>11</v>
      </c>
      <c r="D10" t="s">
        <v>29</v>
      </c>
      <c r="E10" s="2"/>
    </row>
    <row r="11" spans="1:5" x14ac:dyDescent="0.2">
      <c r="A11" s="4" t="s">
        <v>11</v>
      </c>
      <c r="B11" s="4" t="s">
        <v>33</v>
      </c>
      <c r="C11" s="5" t="s">
        <v>11</v>
      </c>
      <c r="D11" t="s">
        <v>29</v>
      </c>
      <c r="E11" s="2"/>
    </row>
    <row r="12" spans="1:5" x14ac:dyDescent="0.2">
      <c r="A12" s="4" t="s">
        <v>11</v>
      </c>
      <c r="B12" s="4" t="s">
        <v>30</v>
      </c>
      <c r="C12" s="4" t="s">
        <v>11</v>
      </c>
      <c r="D12" t="s">
        <v>29</v>
      </c>
      <c r="E12" s="2"/>
    </row>
    <row r="13" spans="1:5" x14ac:dyDescent="0.2">
      <c r="A13" s="4"/>
      <c r="B13" s="4"/>
      <c r="C13" s="4"/>
      <c r="D13"/>
      <c r="E13" s="2"/>
    </row>
    <row r="14" spans="1:5" x14ac:dyDescent="0.2">
      <c r="D14"/>
      <c r="E14" s="2"/>
    </row>
    <row r="15" spans="1:5" x14ac:dyDescent="0.2">
      <c r="D15"/>
    </row>
    <row r="16" spans="1:5" x14ac:dyDescent="0.2">
      <c r="D16"/>
    </row>
    <row r="17" spans="4:4" x14ac:dyDescent="0.2">
      <c r="D17"/>
    </row>
    <row r="18" spans="4:4" x14ac:dyDescent="0.2">
      <c r="D18"/>
    </row>
    <row r="19" spans="4:4" x14ac:dyDescent="0.2">
      <c r="D19"/>
    </row>
    <row r="20" spans="4:4" x14ac:dyDescent="0.2">
      <c r="D20"/>
    </row>
    <row r="21" spans="4:4" x14ac:dyDescent="0.2">
      <c r="D21"/>
    </row>
    <row r="22" spans="4:4" x14ac:dyDescent="0.2">
      <c r="D22"/>
    </row>
    <row r="23" spans="4:4" x14ac:dyDescent="0.2">
      <c r="D23"/>
    </row>
    <row r="24" spans="4:4" x14ac:dyDescent="0.2">
      <c r="D24"/>
    </row>
    <row r="25" spans="4:4" x14ac:dyDescent="0.2">
      <c r="D25"/>
    </row>
    <row r="26" spans="4:4" x14ac:dyDescent="0.2">
      <c r="D26"/>
    </row>
    <row r="27" spans="4:4" x14ac:dyDescent="0.2">
      <c r="D27"/>
    </row>
    <row r="28" spans="4:4" x14ac:dyDescent="0.2">
      <c r="D28"/>
    </row>
    <row r="29" spans="4:4" x14ac:dyDescent="0.2">
      <c r="D29"/>
    </row>
    <row r="30" spans="4:4" x14ac:dyDescent="0.2">
      <c r="D30"/>
    </row>
    <row r="31" spans="4:4" x14ac:dyDescent="0.2">
      <c r="D31"/>
    </row>
    <row r="32" spans="4:4" x14ac:dyDescent="0.2">
      <c r="D32"/>
    </row>
    <row r="33" spans="4:4" x14ac:dyDescent="0.2">
      <c r="D33"/>
    </row>
    <row r="34" spans="4:4" x14ac:dyDescent="0.2">
      <c r="D3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8E19-822C-BD47-8FB0-6EBF588F3ACE}">
  <dimension ref="B2:W152"/>
  <sheetViews>
    <sheetView showGridLines="0" zoomScale="102" zoomScaleNormal="102" workbookViewId="0">
      <selection activeCell="B8" sqref="B8"/>
    </sheetView>
  </sheetViews>
  <sheetFormatPr baseColWidth="10" defaultColWidth="4.1640625" defaultRowHeight="10" customHeight="1" x14ac:dyDescent="0.15"/>
  <cols>
    <col min="1" max="16384" width="4.1640625" style="9"/>
  </cols>
  <sheetData>
    <row r="2" spans="2:22" ht="10" customHeight="1" x14ac:dyDescent="0.15">
      <c r="C2" s="10" t="s">
        <v>4</v>
      </c>
    </row>
    <row r="3" spans="2:22" ht="10" customHeight="1" x14ac:dyDescent="0.15">
      <c r="C3" s="15" t="s">
        <v>80</v>
      </c>
      <c r="D3" s="15" t="s">
        <v>81</v>
      </c>
      <c r="E3" s="15" t="s">
        <v>82</v>
      </c>
      <c r="F3" s="15" t="s">
        <v>20</v>
      </c>
      <c r="G3" s="15" t="s">
        <v>55</v>
      </c>
      <c r="H3" s="15" t="s">
        <v>51</v>
      </c>
      <c r="I3" s="15" t="s">
        <v>56</v>
      </c>
    </row>
    <row r="5" spans="2:22" ht="10" customHeight="1" x14ac:dyDescent="0.15">
      <c r="C5" s="10" t="s">
        <v>52</v>
      </c>
    </row>
    <row r="6" spans="2:22" ht="10" customHeight="1" x14ac:dyDescent="0.15">
      <c r="C6" s="16" cm="1">
        <f t="array" ref="C6:I6">CODE(LOWER(ABH!C3:I3))- CODE("a")</f>
        <v>5</v>
      </c>
      <c r="D6" s="16">
        <v>17</v>
      </c>
      <c r="E6" s="16">
        <v>8</v>
      </c>
      <c r="F6" s="16">
        <v>4</v>
      </c>
      <c r="G6" s="16">
        <v>13</v>
      </c>
      <c r="H6" s="16">
        <v>3</v>
      </c>
      <c r="I6" s="16">
        <v>18</v>
      </c>
      <c r="L6" s="13" t="s">
        <v>83</v>
      </c>
    </row>
    <row r="8" spans="2:22" ht="10" customHeight="1" x14ac:dyDescent="0.15">
      <c r="C8" s="11" t="s">
        <v>42</v>
      </c>
      <c r="D8" s="14" t="s">
        <v>63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10" spans="2:22" ht="10" customHeight="1" x14ac:dyDescent="0.15">
      <c r="C10" s="10" t="s">
        <v>21</v>
      </c>
    </row>
    <row r="11" spans="2:22" ht="10" customHeight="1" x14ac:dyDescent="0.15">
      <c r="C11" s="17" cm="1">
        <f t="array" aca="1" ref="C11:I15" ca="1">_xlfn.RANDARRAY(5, 7, -1, 1)</f>
        <v>0.30929211609793072</v>
      </c>
      <c r="D11" s="17">
        <f ca="1"/>
        <v>8.3692576428949783E-2</v>
      </c>
      <c r="E11" s="17">
        <f ca="1"/>
        <v>0.89701443497353628</v>
      </c>
      <c r="F11" s="17">
        <f ca="1"/>
        <v>0.55859978763996532</v>
      </c>
      <c r="G11" s="17">
        <f ca="1"/>
        <v>0.66817857510819101</v>
      </c>
      <c r="H11" s="17">
        <f ca="1"/>
        <v>0.24102849949610961</v>
      </c>
      <c r="I11" s="17">
        <f ca="1"/>
        <v>-0.28737666623171076</v>
      </c>
      <c r="L11" s="13" t="s">
        <v>62</v>
      </c>
    </row>
    <row r="12" spans="2:22" ht="10" customHeight="1" x14ac:dyDescent="0.15">
      <c r="C12" s="17">
        <f ca="1"/>
        <v>-0.21355235357541469</v>
      </c>
      <c r="D12" s="17">
        <f ca="1"/>
        <v>0.36019142146676941</v>
      </c>
      <c r="E12" s="17">
        <f ca="1"/>
        <v>-0.34897663590904826</v>
      </c>
      <c r="F12" s="17">
        <f ca="1"/>
        <v>0.2647749112428881</v>
      </c>
      <c r="G12" s="17">
        <f ca="1"/>
        <v>-0.79442525890473004</v>
      </c>
      <c r="H12" s="17">
        <f ca="1"/>
        <v>-0.92910451913712655</v>
      </c>
      <c r="I12" s="17">
        <f ca="1"/>
        <v>-0.72195112232159397</v>
      </c>
    </row>
    <row r="13" spans="2:22" ht="10" customHeight="1" x14ac:dyDescent="0.15">
      <c r="C13" s="17">
        <f ca="1"/>
        <v>-0.42407404472680987</v>
      </c>
      <c r="D13" s="17">
        <f ca="1"/>
        <v>-0.19683381071034911</v>
      </c>
      <c r="E13" s="17">
        <f ca="1"/>
        <v>-0.30185131977208912</v>
      </c>
      <c r="F13" s="17">
        <f ca="1"/>
        <v>-0.32586138615971061</v>
      </c>
      <c r="G13" s="17">
        <f ca="1"/>
        <v>0.43338547205520839</v>
      </c>
      <c r="H13" s="17">
        <f ca="1"/>
        <v>0.8529103025114253</v>
      </c>
      <c r="I13" s="17">
        <f ca="1"/>
        <v>-0.97107354705162807</v>
      </c>
    </row>
    <row r="14" spans="2:22" ht="10" customHeight="1" x14ac:dyDescent="0.15">
      <c r="C14" s="17">
        <f ca="1"/>
        <v>0.88246238448227921</v>
      </c>
      <c r="D14" s="17">
        <f ca="1"/>
        <v>-0.77177244016303281</v>
      </c>
      <c r="E14" s="17">
        <f ca="1"/>
        <v>-0.80427433975165163</v>
      </c>
      <c r="F14" s="17">
        <f ca="1"/>
        <v>-0.74357995374903596</v>
      </c>
      <c r="G14" s="17">
        <f ca="1"/>
        <v>0.18846168024234955</v>
      </c>
      <c r="H14" s="17">
        <f ca="1"/>
        <v>-0.52866788797081288</v>
      </c>
      <c r="I14" s="17">
        <f ca="1"/>
        <v>-0.78294828684421436</v>
      </c>
    </row>
    <row r="15" spans="2:22" ht="10" customHeight="1" x14ac:dyDescent="0.15">
      <c r="C15" s="17">
        <f ca="1"/>
        <v>-0.37642118647999356</v>
      </c>
      <c r="D15" s="17">
        <f ca="1"/>
        <v>-0.87947609655818781</v>
      </c>
      <c r="E15" s="17">
        <f ca="1"/>
        <v>-0.78129448549619429</v>
      </c>
      <c r="F15" s="17">
        <f ca="1"/>
        <v>-0.68573030475669716</v>
      </c>
      <c r="G15" s="17">
        <f ca="1"/>
        <v>-0.36438408990982962</v>
      </c>
      <c r="H15" s="17">
        <f ca="1"/>
        <v>9.5108895108020564E-2</v>
      </c>
      <c r="I15" s="17">
        <f ca="1"/>
        <v>-0.37257389463150248</v>
      </c>
    </row>
    <row r="17" spans="2:22" ht="10" customHeight="1" x14ac:dyDescent="0.15">
      <c r="C17" s="11" t="s">
        <v>43</v>
      </c>
      <c r="D17" s="14" t="s">
        <v>64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9" spans="2:22" ht="10" customHeight="1" x14ac:dyDescent="0.15">
      <c r="C19" s="10" t="s">
        <v>13</v>
      </c>
    </row>
    <row r="20" spans="2:22" ht="10" customHeight="1" x14ac:dyDescent="0.15">
      <c r="C20" s="16" cm="1">
        <f t="array" ref="C20:I20">_xlfn.SEQUENCE(1, 7, 0)</f>
        <v>0</v>
      </c>
      <c r="D20" s="16">
        <v>1</v>
      </c>
      <c r="E20" s="16">
        <v>2</v>
      </c>
      <c r="F20" s="16">
        <v>3</v>
      </c>
      <c r="G20" s="16">
        <v>4</v>
      </c>
      <c r="H20" s="16">
        <v>5</v>
      </c>
      <c r="I20" s="16">
        <v>6</v>
      </c>
    </row>
    <row r="22" spans="2:22" ht="10" customHeight="1" x14ac:dyDescent="0.15">
      <c r="C22" s="10" t="s">
        <v>14</v>
      </c>
    </row>
    <row r="23" spans="2:22" ht="10" customHeight="1" x14ac:dyDescent="0.15">
      <c r="C23" s="17" cm="1">
        <f t="array" aca="1" ref="C23:I27" ca="1">_xlfn.RANDARRAY(5, 7, -1, 1)</f>
        <v>6.8406678951013156E-2</v>
      </c>
      <c r="D23" s="17">
        <f ca="1"/>
        <v>-0.32732230437518162</v>
      </c>
      <c r="E23" s="17">
        <f ca="1"/>
        <v>0.61434665048651516</v>
      </c>
      <c r="F23" s="17">
        <f ca="1"/>
        <v>0.47106029994507548</v>
      </c>
      <c r="G23" s="17">
        <f ca="1"/>
        <v>0.30786576941353361</v>
      </c>
      <c r="H23" s="17">
        <f ca="1"/>
        <v>0.6526632622273032</v>
      </c>
      <c r="I23" s="17">
        <f ca="1"/>
        <v>0.32923578880118365</v>
      </c>
    </row>
    <row r="24" spans="2:22" ht="10" customHeight="1" x14ac:dyDescent="0.15">
      <c r="C24" s="17">
        <f ca="1"/>
        <v>-0.5747316867385206</v>
      </c>
      <c r="D24" s="17">
        <f ca="1"/>
        <v>0.62094164372506322</v>
      </c>
      <c r="E24" s="17">
        <f ca="1"/>
        <v>-0.62422173278494419</v>
      </c>
      <c r="F24" s="17">
        <f ca="1"/>
        <v>0.66214836142786893</v>
      </c>
      <c r="G24" s="17">
        <f ca="1"/>
        <v>-0.85836256023320079</v>
      </c>
      <c r="H24" s="17">
        <f ca="1"/>
        <v>0.20490012699014493</v>
      </c>
      <c r="I24" s="17">
        <f ca="1"/>
        <v>-0.50450589699480486</v>
      </c>
    </row>
    <row r="25" spans="2:22" ht="10" customHeight="1" x14ac:dyDescent="0.15">
      <c r="C25" s="17">
        <f ca="1"/>
        <v>0.40716554779751202</v>
      </c>
      <c r="D25" s="17">
        <f ca="1"/>
        <v>0.17553218728998088</v>
      </c>
      <c r="E25" s="17">
        <f ca="1"/>
        <v>-0.94084146265350466</v>
      </c>
      <c r="F25" s="17">
        <f ca="1"/>
        <v>-0.7627139884740004</v>
      </c>
      <c r="G25" s="17">
        <f ca="1"/>
        <v>-0.30242156285124855</v>
      </c>
      <c r="H25" s="17">
        <f ca="1"/>
        <v>-0.44124434124292211</v>
      </c>
      <c r="I25" s="17">
        <f ca="1"/>
        <v>-6.1469567064397879E-2</v>
      </c>
    </row>
    <row r="26" spans="2:22" ht="10" customHeight="1" x14ac:dyDescent="0.15">
      <c r="C26" s="17">
        <f ca="1"/>
        <v>-0.75737050242747195</v>
      </c>
      <c r="D26" s="17">
        <f ca="1"/>
        <v>-0.23303607652301284</v>
      </c>
      <c r="E26" s="17">
        <f ca="1"/>
        <v>0.45647242145156763</v>
      </c>
      <c r="F26" s="17">
        <f ca="1"/>
        <v>-0.16650351214324233</v>
      </c>
      <c r="G26" s="17">
        <f ca="1"/>
        <v>0.22137730729838823</v>
      </c>
      <c r="H26" s="17">
        <f ca="1"/>
        <v>0.10923503065360474</v>
      </c>
      <c r="I26" s="17">
        <f ca="1"/>
        <v>-0.19595284975363092</v>
      </c>
    </row>
    <row r="27" spans="2:22" ht="10" customHeight="1" x14ac:dyDescent="0.15">
      <c r="C27" s="17">
        <f ca="1"/>
        <v>5.0551625333754568E-3</v>
      </c>
      <c r="D27" s="17">
        <f ca="1"/>
        <v>0.97409253964354425</v>
      </c>
      <c r="E27" s="17">
        <f ca="1"/>
        <v>0.47544766269610617</v>
      </c>
      <c r="F27" s="17">
        <f ca="1"/>
        <v>-0.97476026204856558</v>
      </c>
      <c r="G27" s="17">
        <f ca="1"/>
        <v>-0.40541404433222428</v>
      </c>
      <c r="H27" s="17">
        <f ca="1"/>
        <v>0.48416552697868886</v>
      </c>
      <c r="I27" s="17">
        <f ca="1"/>
        <v>0.40770083764398213</v>
      </c>
    </row>
    <row r="29" spans="2:22" ht="10" customHeight="1" x14ac:dyDescent="0.15">
      <c r="C29" s="10" t="s">
        <v>22</v>
      </c>
    </row>
    <row r="30" spans="2:22" ht="10" customHeight="1" x14ac:dyDescent="0.15">
      <c r="C30" s="18" cm="1">
        <f t="array" aca="1" ref="C30:I34" ca="1">ABH!C11:I15+ABH!C23:I27</f>
        <v>0.37769879504894388</v>
      </c>
      <c r="D30" s="18">
        <f ca="1"/>
        <v>-0.24362972794623183</v>
      </c>
      <c r="E30" s="18">
        <f ca="1"/>
        <v>1.5113610854600514</v>
      </c>
      <c r="F30" s="18">
        <f ca="1"/>
        <v>1.0296600875850408</v>
      </c>
      <c r="G30" s="18">
        <f ca="1"/>
        <v>0.97604434452172462</v>
      </c>
      <c r="H30" s="18">
        <f ca="1"/>
        <v>0.8936917617234128</v>
      </c>
      <c r="I30" s="18">
        <f ca="1"/>
        <v>4.1859122569472884E-2</v>
      </c>
    </row>
    <row r="31" spans="2:22" ht="10" customHeight="1" x14ac:dyDescent="0.15">
      <c r="C31" s="18">
        <f ca="1"/>
        <v>-0.78828404031393529</v>
      </c>
      <c r="D31" s="18">
        <f ca="1"/>
        <v>0.98113306519183263</v>
      </c>
      <c r="E31" s="18">
        <f ca="1"/>
        <v>-0.97319836869399245</v>
      </c>
      <c r="F31" s="18">
        <f ca="1"/>
        <v>0.92692327267075703</v>
      </c>
      <c r="G31" s="18">
        <f ca="1"/>
        <v>-1.6527878191379308</v>
      </c>
      <c r="H31" s="18">
        <f ca="1"/>
        <v>-0.72420439214698162</v>
      </c>
      <c r="I31" s="18">
        <f ca="1"/>
        <v>-1.2264570193163988</v>
      </c>
    </row>
    <row r="32" spans="2:22" ht="10" customHeight="1" x14ac:dyDescent="0.15">
      <c r="C32" s="18">
        <f ca="1"/>
        <v>-1.6908496929297856E-2</v>
      </c>
      <c r="D32" s="18">
        <f ca="1"/>
        <v>-2.1301623420368232E-2</v>
      </c>
      <c r="E32" s="18">
        <f ca="1"/>
        <v>-1.2426927824255938</v>
      </c>
      <c r="F32" s="18">
        <f ca="1"/>
        <v>-1.088575374633711</v>
      </c>
      <c r="G32" s="18">
        <f ca="1"/>
        <v>0.13096390920395984</v>
      </c>
      <c r="H32" s="18">
        <f ca="1"/>
        <v>0.41166596126850319</v>
      </c>
      <c r="I32" s="18">
        <f ca="1"/>
        <v>-1.032543114116026</v>
      </c>
    </row>
    <row r="33" spans="3:22" ht="10" customHeight="1" x14ac:dyDescent="0.15">
      <c r="C33" s="18">
        <f ca="1"/>
        <v>0.12509188205480726</v>
      </c>
      <c r="D33" s="18">
        <f ca="1"/>
        <v>-1.0048085166860456</v>
      </c>
      <c r="E33" s="18">
        <f ca="1"/>
        <v>-0.347801918300084</v>
      </c>
      <c r="F33" s="18">
        <f ca="1"/>
        <v>-0.91008346589227829</v>
      </c>
      <c r="G33" s="18">
        <f ca="1"/>
        <v>0.40983898754073778</v>
      </c>
      <c r="H33" s="18">
        <f ca="1"/>
        <v>-0.41943285731720814</v>
      </c>
      <c r="I33" s="18">
        <f ca="1"/>
        <v>-0.97890113659784528</v>
      </c>
    </row>
    <row r="34" spans="3:22" ht="10" customHeight="1" x14ac:dyDescent="0.15">
      <c r="C34" s="18">
        <f ca="1"/>
        <v>-0.37136602394661811</v>
      </c>
      <c r="D34" s="18">
        <f ca="1"/>
        <v>9.4616443085356439E-2</v>
      </c>
      <c r="E34" s="18">
        <f ca="1"/>
        <v>-0.30584682280008813</v>
      </c>
      <c r="F34" s="18">
        <f ca="1"/>
        <v>-1.6604905668052627</v>
      </c>
      <c r="G34" s="18">
        <f ca="1"/>
        <v>-0.7697981342420539</v>
      </c>
      <c r="H34" s="18">
        <f ca="1"/>
        <v>0.57927442208670943</v>
      </c>
      <c r="I34" s="18">
        <f ca="1"/>
        <v>3.512694301247965E-2</v>
      </c>
    </row>
    <row r="36" spans="3:22" ht="10" customHeight="1" x14ac:dyDescent="0.15">
      <c r="C36" s="11" t="s">
        <v>44</v>
      </c>
      <c r="D36" s="14" t="s">
        <v>74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8" spans="3:22" ht="10" customHeight="1" x14ac:dyDescent="0.15">
      <c r="C38" s="10" t="s">
        <v>75</v>
      </c>
    </row>
    <row r="39" spans="3:22" ht="10" customHeight="1" x14ac:dyDescent="0.15">
      <c r="C39" s="23" cm="1">
        <f t="array" aca="1" ref="C39:I39" ca="1">_xlfn.BYCOL(ABH!C30:I34, _xlfn.LAMBDA(_xlpm.col, SQRT(SUM(_xlpm.col^2))))</f>
        <v>0.95806821675777765</v>
      </c>
      <c r="D39" s="23">
        <f ca="1"/>
        <v>1.4286440150083417</v>
      </c>
      <c r="E39" s="23">
        <f ca="1"/>
        <v>2.2338579185692238</v>
      </c>
      <c r="F39" s="23">
        <f ca="1"/>
        <v>2.5864771085364335</v>
      </c>
      <c r="G39" s="23">
        <f ca="1"/>
        <v>2.1123633319740494</v>
      </c>
      <c r="H39" s="23">
        <f ca="1"/>
        <v>1.415665429444954</v>
      </c>
      <c r="I39" s="23">
        <f ca="1"/>
        <v>1.879248686640256</v>
      </c>
    </row>
    <row r="41" spans="3:22" ht="10" customHeight="1" x14ac:dyDescent="0.15">
      <c r="C41" s="10" t="s">
        <v>76</v>
      </c>
    </row>
    <row r="42" spans="3:22" ht="10" customHeight="1" x14ac:dyDescent="0.15">
      <c r="C42" s="23" cm="1">
        <f t="array" aca="1" ref="C42:I46" ca="1">ABH!C30:I34/IF(ABH!C39:I39=0,1, ABH!C39:I39)</f>
        <v>0.39422954278467115</v>
      </c>
      <c r="D42" s="23">
        <f ca="1"/>
        <v>-0.17053214473782632</v>
      </c>
      <c r="E42" s="23">
        <f ca="1"/>
        <v>0.67656992546243566</v>
      </c>
      <c r="F42" s="23">
        <f ca="1"/>
        <v>0.3980936402594637</v>
      </c>
      <c r="G42" s="23">
        <f ca="1"/>
        <v>0.46206271892136569</v>
      </c>
      <c r="H42" s="23">
        <f ca="1"/>
        <v>0.63128740953560358</v>
      </c>
      <c r="I42" s="23">
        <f ca="1"/>
        <v>2.2274392350013633E-2</v>
      </c>
    </row>
    <row r="43" spans="3:22" ht="10" customHeight="1" x14ac:dyDescent="0.15">
      <c r="C43" s="23">
        <f ca="1"/>
        <v>-0.82278487745015361</v>
      </c>
      <c r="D43" s="23">
        <f ca="1"/>
        <v>0.6867582511001552</v>
      </c>
      <c r="E43" s="23">
        <f ca="1"/>
        <v>-0.4356581323297955</v>
      </c>
      <c r="F43" s="23">
        <f ca="1"/>
        <v>0.35837288859488864</v>
      </c>
      <c r="G43" s="23">
        <f ca="1"/>
        <v>-0.78243538605329077</v>
      </c>
      <c r="H43" s="23">
        <f ca="1"/>
        <v>-0.51156465156525266</v>
      </c>
      <c r="I43" s="23">
        <f ca="1"/>
        <v>-0.65263156921986409</v>
      </c>
    </row>
    <row r="44" spans="3:22" ht="10" customHeight="1" x14ac:dyDescent="0.15">
      <c r="C44" s="23">
        <f ca="1"/>
        <v>-1.7648531319114539E-2</v>
      </c>
      <c r="D44" s="23">
        <f ca="1"/>
        <v>-1.491037879036917E-2</v>
      </c>
      <c r="E44" s="23">
        <f ca="1"/>
        <v>-0.55629893561965349</v>
      </c>
      <c r="F44" s="23">
        <f ca="1"/>
        <v>-0.42087183800736783</v>
      </c>
      <c r="G44" s="23">
        <f ca="1"/>
        <v>6.1998760924130994E-2</v>
      </c>
      <c r="H44" s="23">
        <f ca="1"/>
        <v>0.29079325715392146</v>
      </c>
      <c r="I44" s="23">
        <f ca="1"/>
        <v>-0.54944463787920439</v>
      </c>
    </row>
    <row r="45" spans="3:22" ht="10" customHeight="1" x14ac:dyDescent="0.15">
      <c r="C45" s="23">
        <f ca="1"/>
        <v>0.13056677997119431</v>
      </c>
      <c r="D45" s="23">
        <f ca="1"/>
        <v>-0.70333022511572185</v>
      </c>
      <c r="E45" s="23">
        <f ca="1"/>
        <v>-0.15569563104660192</v>
      </c>
      <c r="F45" s="23">
        <f ca="1"/>
        <v>-0.35186217689251154</v>
      </c>
      <c r="G45" s="23">
        <f ca="1"/>
        <v>0.19401917337664365</v>
      </c>
      <c r="H45" s="23">
        <f ca="1"/>
        <v>-0.29627964955085256</v>
      </c>
      <c r="I45" s="23">
        <f ca="1"/>
        <v>-0.52090026378996002</v>
      </c>
    </row>
    <row r="46" spans="3:22" ht="10" customHeight="1" x14ac:dyDescent="0.15">
      <c r="C46" s="23">
        <f ca="1"/>
        <v>-0.38761960521283867</v>
      </c>
      <c r="D46" s="23">
        <f ca="1"/>
        <v>6.6228145074197498E-2</v>
      </c>
      <c r="E46" s="23">
        <f ca="1"/>
        <v>-0.13691417894472971</v>
      </c>
      <c r="F46" s="23">
        <f ca="1"/>
        <v>-0.64198927619539492</v>
      </c>
      <c r="G46" s="23">
        <f ca="1"/>
        <v>-0.36442506011627313</v>
      </c>
      <c r="H46" s="23">
        <f ca="1"/>
        <v>0.40918878856413698</v>
      </c>
      <c r="I46" s="23">
        <f ca="1"/>
        <v>1.8692014134265557E-2</v>
      </c>
    </row>
    <row r="48" spans="3:22" ht="10" customHeight="1" x14ac:dyDescent="0.15">
      <c r="C48" s="11" t="s">
        <v>45</v>
      </c>
      <c r="D48" s="14" t="s">
        <v>65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50" spans="3:15" ht="10" customHeight="1" x14ac:dyDescent="0.15">
      <c r="C50" s="10" t="s">
        <v>15</v>
      </c>
      <c r="I50" s="10" t="s">
        <v>23</v>
      </c>
    </row>
    <row r="51" spans="3:15" ht="10" customHeight="1" x14ac:dyDescent="0.15">
      <c r="C51" s="17" cm="1">
        <f t="array" aca="1" ref="C51:G63" ca="1">_xlfn.RANDARRAY(13, 5, -1, 1)</f>
        <v>0.19636243580925372</v>
      </c>
      <c r="D51" s="17">
        <f ca="1"/>
        <v>-0.23912914902273741</v>
      </c>
      <c r="E51" s="17">
        <f ca="1"/>
        <v>-0.62187876593518698</v>
      </c>
      <c r="F51" s="17">
        <f ca="1"/>
        <v>0.26285488015239267</v>
      </c>
      <c r="G51" s="17">
        <f ca="1"/>
        <v>0.40725046902797257</v>
      </c>
      <c r="I51" s="19" cm="1">
        <f t="array" aca="1" ref="I51:O63" ca="1">MMULT(ABH!C51:G63,ABH!C42:I46)</f>
        <v>0.16160081701374443</v>
      </c>
      <c r="J51" s="19">
        <f ca="1"/>
        <v>-0.34633991441866718</v>
      </c>
      <c r="K51" s="19">
        <f ca="1"/>
        <v>0.48629825255132964</v>
      </c>
      <c r="L51" s="19">
        <f ca="1"/>
        <v>-9.9734631942843377E-2</v>
      </c>
      <c r="M51" s="19">
        <f ca="1"/>
        <v>0.14186576599052172</v>
      </c>
      <c r="N51" s="19">
        <f ca="1"/>
        <v>0.15421677561933334</v>
      </c>
      <c r="O51" s="19">
        <f ca="1"/>
        <v>0.3728161941783622</v>
      </c>
    </row>
    <row r="52" spans="3:15" ht="10" customHeight="1" x14ac:dyDescent="0.15">
      <c r="C52" s="17">
        <f ca="1"/>
        <v>0.76105861020955867</v>
      </c>
      <c r="D52" s="17">
        <f ca="1"/>
        <v>-0.83667884698590833</v>
      </c>
      <c r="E52" s="17">
        <f ca="1"/>
        <v>-0.1367518494959199</v>
      </c>
      <c r="F52" s="17">
        <f ca="1"/>
        <v>3.862905331855826E-2</v>
      </c>
      <c r="G52" s="17">
        <f ca="1"/>
        <v>-0.21231577789760392</v>
      </c>
      <c r="I52" s="19">
        <f ca="1"/>
        <v>1.0781933889307291</v>
      </c>
      <c r="J52" s="19">
        <f ca="1"/>
        <v>-0.74357229778918699</v>
      </c>
      <c r="K52" s="19">
        <f ca="1"/>
        <v>0.97854488491304914</v>
      </c>
      <c r="L52" s="19">
        <f ca="1"/>
        <v>0.18339692940218555</v>
      </c>
      <c r="M52" s="19">
        <f ca="1"/>
        <v>1.0826934692303123</v>
      </c>
      <c r="N52" s="19">
        <f ca="1"/>
        <v>0.77037328730690458</v>
      </c>
      <c r="O52" s="19">
        <f ca="1"/>
        <v>0.61404222376725803</v>
      </c>
    </row>
    <row r="53" spans="3:15" ht="10" customHeight="1" x14ac:dyDescent="0.15">
      <c r="C53" s="17">
        <f ca="1"/>
        <v>-0.41739283568728425</v>
      </c>
      <c r="D53" s="17">
        <f ca="1"/>
        <v>-0.90003921918121343</v>
      </c>
      <c r="E53" s="17">
        <f ca="1"/>
        <v>0.80473554705335548</v>
      </c>
      <c r="F53" s="17">
        <f ca="1"/>
        <v>0.16841464474612478</v>
      </c>
      <c r="G53" s="17">
        <f ca="1"/>
        <v>0.37571431910458419</v>
      </c>
      <c r="I53" s="19">
        <f ca="1"/>
        <v>0.43814279319434002</v>
      </c>
      <c r="J53" s="19">
        <f ca="1"/>
        <v>-0.65249762402108857</v>
      </c>
      <c r="K53" s="19">
        <f ca="1"/>
        <v>-0.41562160466774645</v>
      </c>
      <c r="L53" s="19">
        <f ca="1"/>
        <v>-1.1278649243009893</v>
      </c>
      <c r="M53" s="19">
        <f ca="1"/>
        <v>0.45700942902803193</v>
      </c>
      <c r="N53" s="19">
        <f ca="1"/>
        <v>0.53478533358693336</v>
      </c>
      <c r="O53" s="19">
        <f ca="1"/>
        <v>5.5234829437018802E-2</v>
      </c>
    </row>
    <row r="54" spans="3:15" ht="10" customHeight="1" x14ac:dyDescent="0.15">
      <c r="C54" s="17">
        <f ca="1"/>
        <v>-0.90326804792760074</v>
      </c>
      <c r="D54" s="17">
        <f ca="1"/>
        <v>-0.97648910067579053</v>
      </c>
      <c r="E54" s="17">
        <f ca="1"/>
        <v>-0.6125849503152212</v>
      </c>
      <c r="F54" s="17">
        <f ca="1"/>
        <v>-0.79176672444167218</v>
      </c>
      <c r="G54" s="17">
        <f ca="1"/>
        <v>-0.29217961054166386</v>
      </c>
      <c r="I54" s="19">
        <f ca="1"/>
        <v>0.46803285375640863</v>
      </c>
      <c r="J54" s="19">
        <f ca="1"/>
        <v>3.0081119044276725E-2</v>
      </c>
      <c r="K54" s="19">
        <f ca="1"/>
        <v>0.31834992910416571</v>
      </c>
      <c r="L54" s="19">
        <f ca="1"/>
        <v>1.445620889844812E-2</v>
      </c>
      <c r="M54" s="19">
        <f ca="1"/>
        <v>0.26155327519664623</v>
      </c>
      <c r="N54" s="19">
        <f ca="1"/>
        <v>-0.13379226577073486</v>
      </c>
      <c r="O54" s="19">
        <f ca="1"/>
        <v>1.3607194536113525</v>
      </c>
    </row>
    <row r="55" spans="3:15" ht="10" customHeight="1" x14ac:dyDescent="0.15">
      <c r="C55" s="17">
        <f ca="1"/>
        <v>-0.4635859683579564</v>
      </c>
      <c r="D55" s="17">
        <f ca="1"/>
        <v>-0.31759923309593852</v>
      </c>
      <c r="E55" s="17">
        <f ca="1"/>
        <v>-0.99290473501374521</v>
      </c>
      <c r="F55" s="17">
        <f ca="1"/>
        <v>-0.865149044972779</v>
      </c>
      <c r="G55" s="17">
        <f ca="1"/>
        <v>-0.34950029099230107</v>
      </c>
      <c r="I55" s="19">
        <f ca="1"/>
        <v>0.11859331186570381</v>
      </c>
      <c r="J55" s="19">
        <f ca="1"/>
        <v>0.46108571786857733</v>
      </c>
      <c r="K55" s="19">
        <f ca="1"/>
        <v>0.55961968381099558</v>
      </c>
      <c r="L55" s="19">
        <f ca="1"/>
        <v>0.64830472563933983</v>
      </c>
      <c r="M55" s="19">
        <f ca="1"/>
        <v>-6.7752615719863629E-2</v>
      </c>
      <c r="N55" s="19">
        <f ca="1"/>
        <v>-0.30559899080399489</v>
      </c>
      <c r="O55" s="19">
        <f ca="1"/>
        <v>1.1866188740742309</v>
      </c>
    </row>
    <row r="56" spans="3:15" ht="10" customHeight="1" x14ac:dyDescent="0.15">
      <c r="C56" s="17">
        <f ca="1"/>
        <v>-0.18256509942188148</v>
      </c>
      <c r="D56" s="17">
        <f ca="1"/>
        <v>0.24034982676175054</v>
      </c>
      <c r="E56" s="17">
        <f ca="1"/>
        <v>-0.3540736196690013</v>
      </c>
      <c r="F56" s="17">
        <f ca="1"/>
        <v>0.86005004107418004</v>
      </c>
      <c r="G56" s="17">
        <f ca="1"/>
        <v>-0.48879543125472091</v>
      </c>
      <c r="I56" s="19">
        <f ca="1"/>
        <v>3.8280777505084879E-2</v>
      </c>
      <c r="J56" s="19">
        <f ca="1"/>
        <v>-0.4357963873054766</v>
      </c>
      <c r="K56" s="19">
        <f ca="1"/>
        <v>-9.8240643322380417E-2</v>
      </c>
      <c r="L56" s="19">
        <f ca="1"/>
        <v>0.17365881720669546</v>
      </c>
      <c r="M56" s="19">
        <f ca="1"/>
        <v>5.0628641046726208E-2</v>
      </c>
      <c r="N56" s="19">
        <f ca="1"/>
        <v>-0.79599268033907944</v>
      </c>
      <c r="O56" s="19">
        <f ca="1"/>
        <v>-0.42351942389145641</v>
      </c>
    </row>
    <row r="57" spans="3:15" ht="10" customHeight="1" x14ac:dyDescent="0.15">
      <c r="C57" s="17">
        <f ca="1"/>
        <v>-0.83695798139293376</v>
      </c>
      <c r="D57" s="17">
        <f ca="1"/>
        <v>0.5493876507477069</v>
      </c>
      <c r="E57" s="17">
        <f ca="1"/>
        <v>-0.24188477694549104</v>
      </c>
      <c r="F57" s="17">
        <f ca="1"/>
        <v>0.65495904388706183</v>
      </c>
      <c r="G57" s="17">
        <f ca="1"/>
        <v>-0.14809346455021033</v>
      </c>
      <c r="I57" s="19">
        <f ca="1"/>
        <v>-0.63479267852915799</v>
      </c>
      <c r="J57" s="19">
        <f ca="1"/>
        <v>5.3170888240340955E-2</v>
      </c>
      <c r="K57" s="19">
        <f ca="1"/>
        <v>-0.75274371952033636</v>
      </c>
      <c r="L57" s="19">
        <f ca="1"/>
        <v>-0.16988041838274057</v>
      </c>
      <c r="M57" s="19">
        <f ca="1"/>
        <v>-0.65054039355601734</v>
      </c>
      <c r="N57" s="19">
        <f ca="1"/>
        <v>-1.1343960215832123</v>
      </c>
      <c r="O57" s="19">
        <f ca="1"/>
        <v>-0.58822466526316008</v>
      </c>
    </row>
    <row r="58" spans="3:15" ht="10" customHeight="1" x14ac:dyDescent="0.15">
      <c r="C58" s="17">
        <f ca="1"/>
        <v>2.2401611167177649E-4</v>
      </c>
      <c r="D58" s="17">
        <f ca="1"/>
        <v>0.16697344105359724</v>
      </c>
      <c r="E58" s="17">
        <f ca="1"/>
        <v>0.84759555192044767</v>
      </c>
      <c r="F58" s="17">
        <f ca="1"/>
        <v>-0.30013104978764971</v>
      </c>
      <c r="G58" s="17">
        <f ca="1"/>
        <v>0.42792523454181786</v>
      </c>
      <c r="I58" s="19">
        <f ca="1"/>
        <v>-0.35731308032330233</v>
      </c>
      <c r="J58" s="19">
        <f ca="1"/>
        <v>0.34142614899550927</v>
      </c>
      <c r="K58" s="19">
        <f ca="1"/>
        <v>-0.55596821722706768</v>
      </c>
      <c r="L58" s="19">
        <f ca="1"/>
        <v>-0.46591981110317904</v>
      </c>
      <c r="M58" s="19">
        <f ca="1"/>
        <v>-0.29217040284154011</v>
      </c>
      <c r="N58" s="19">
        <f ca="1"/>
        <v>0.42522371021832445</v>
      </c>
      <c r="O58" s="19">
        <f ca="1"/>
        <v>-0.41033685258463137</v>
      </c>
    </row>
    <row r="59" spans="3:15" ht="10" customHeight="1" x14ac:dyDescent="0.15">
      <c r="C59" s="17">
        <f ca="1"/>
        <v>-0.20310430874079022</v>
      </c>
      <c r="D59" s="17">
        <f ca="1"/>
        <v>0.64321165580839801</v>
      </c>
      <c r="E59" s="17">
        <f ca="1"/>
        <v>0.95000523774208179</v>
      </c>
      <c r="F59" s="17">
        <f ca="1"/>
        <v>-0.76209008077303197</v>
      </c>
      <c r="G59" s="17">
        <f ca="1"/>
        <v>0.54301236460334223</v>
      </c>
      <c r="I59" s="19">
        <f ca="1"/>
        <v>-0.9360466256506752</v>
      </c>
      <c r="J59" s="19">
        <f ca="1"/>
        <v>1.0341654769862902</v>
      </c>
      <c r="K59" s="19">
        <f ca="1"/>
        <v>-0.90181355429330357</v>
      </c>
      <c r="L59" s="19">
        <f ca="1"/>
        <v>-0.3306328051820433</v>
      </c>
      <c r="M59" s="19">
        <f ca="1"/>
        <v>-0.88396674286096655</v>
      </c>
      <c r="N59" s="19">
        <f ca="1"/>
        <v>0.26697993158448413</v>
      </c>
      <c r="O59" s="19">
        <f ca="1"/>
        <v>-0.5391566222655273</v>
      </c>
    </row>
    <row r="60" spans="3:15" ht="10" customHeight="1" x14ac:dyDescent="0.15">
      <c r="C60" s="17">
        <f ca="1"/>
        <v>-0.1424727292406609</v>
      </c>
      <c r="D60" s="17">
        <f ca="1"/>
        <v>0.3512959370640516</v>
      </c>
      <c r="E60" s="17">
        <f ca="1"/>
        <v>-0.75604450803572076</v>
      </c>
      <c r="F60" s="17">
        <f ca="1"/>
        <v>0.15523899924248519</v>
      </c>
      <c r="G60" s="17">
        <f ca="1"/>
        <v>0.2798357069169588</v>
      </c>
      <c r="I60" s="19">
        <f ca="1"/>
        <v>-0.42006561823766486</v>
      </c>
      <c r="J60" s="19">
        <f ca="1"/>
        <v>0.18617319294863116</v>
      </c>
      <c r="K60" s="19">
        <f ca="1"/>
        <v>0.10866554946014706</v>
      </c>
      <c r="L60" s="19">
        <f ca="1"/>
        <v>0.15310103885922591</v>
      </c>
      <c r="M60" s="19">
        <f ca="1"/>
        <v>-0.45943133348950804</v>
      </c>
      <c r="N60" s="19">
        <f ca="1"/>
        <v>-0.42099299123915551</v>
      </c>
      <c r="O60" s="19">
        <f ca="1"/>
        <v>0.10733094613435354</v>
      </c>
    </row>
    <row r="61" spans="3:15" ht="10" customHeight="1" x14ac:dyDescent="0.15">
      <c r="C61" s="17">
        <f ca="1"/>
        <v>-0.87128535608647883</v>
      </c>
      <c r="D61" s="17">
        <f ca="1"/>
        <v>0.69712183146255891</v>
      </c>
      <c r="E61" s="17">
        <f ca="1"/>
        <v>-0.83912695730373632</v>
      </c>
      <c r="F61" s="17">
        <f ca="1"/>
        <v>0.30175411842935196</v>
      </c>
      <c r="G61" s="17">
        <f ca="1"/>
        <v>9.9414414825635067E-2</v>
      </c>
      <c r="I61" s="19">
        <f ca="1"/>
        <v>-0.90139428248682296</v>
      </c>
      <c r="J61" s="19">
        <f ca="1"/>
        <v>0.43419927126068708</v>
      </c>
      <c r="K61" s="19">
        <f ca="1"/>
        <v>-0.48697987119831032</v>
      </c>
      <c r="L61" s="19">
        <f ca="1"/>
        <v>8.6142460962389825E-2</v>
      </c>
      <c r="M61" s="19">
        <f ca="1"/>
        <v>-0.9777491210057363</v>
      </c>
      <c r="N61" s="19">
        <f ca="1"/>
        <v>-1.1993911637912875</v>
      </c>
      <c r="O61" s="19">
        <f ca="1"/>
        <v>-0.16864280372718279</v>
      </c>
    </row>
    <row r="62" spans="3:15" ht="10" customHeight="1" x14ac:dyDescent="0.15">
      <c r="C62" s="17">
        <f ca="1"/>
        <v>0.28908101904291095</v>
      </c>
      <c r="D62" s="17">
        <f ca="1"/>
        <v>-0.18258608160115486</v>
      </c>
      <c r="E62" s="17">
        <f ca="1"/>
        <v>0.59694008466770154</v>
      </c>
      <c r="F62" s="17">
        <f ca="1"/>
        <v>0.22710637743174944</v>
      </c>
      <c r="G62" s="17">
        <f ca="1"/>
        <v>-0.43526683343572325</v>
      </c>
      <c r="I62" s="19">
        <f ca="1"/>
        <v>0.45202873551021444</v>
      </c>
      <c r="J62" s="19">
        <f ca="1"/>
        <v>-0.37214840158862994</v>
      </c>
      <c r="K62" s="19">
        <f ca="1"/>
        <v>-3.2713768550325775E-2</v>
      </c>
      <c r="L62" s="19">
        <f ca="1"/>
        <v>-2.0613618943357004E-3</v>
      </c>
      <c r="M62" s="19">
        <f ca="1"/>
        <v>0.51613005204773243</v>
      </c>
      <c r="N62" s="19">
        <f ca="1"/>
        <v>0.20409063822677589</v>
      </c>
      <c r="O62" s="19">
        <f ca="1"/>
        <v>-0.32882076937899352</v>
      </c>
    </row>
    <row r="63" spans="3:15" ht="10" customHeight="1" x14ac:dyDescent="0.15">
      <c r="C63" s="17">
        <f ca="1"/>
        <v>0.12942725607382499</v>
      </c>
      <c r="D63" s="17">
        <f ca="1"/>
        <v>-0.44827996045540552</v>
      </c>
      <c r="E63" s="17">
        <f ca="1"/>
        <v>0.45197527245667701</v>
      </c>
      <c r="F63" s="17">
        <f ca="1"/>
        <v>-0.90890477792854485</v>
      </c>
      <c r="G63" s="17">
        <f ca="1"/>
        <v>0.13813206478209983</v>
      </c>
      <c r="I63" s="19">
        <f ca="1"/>
        <v>0.2396698539884668</v>
      </c>
      <c r="J63" s="19">
        <f ca="1"/>
        <v>0.31173784076741434</v>
      </c>
      <c r="K63" s="19">
        <f ca="1"/>
        <v>0.15403030105877452</v>
      </c>
      <c r="L63" s="19">
        <f ca="1"/>
        <v>-6.8220970999998937E-2</v>
      </c>
      <c r="M63" s="19">
        <f ca="1"/>
        <v>0.21189178091956318</v>
      </c>
      <c r="N63" s="19">
        <f ca="1"/>
        <v>0.76827342194472426</v>
      </c>
      <c r="O63" s="19">
        <f ca="1"/>
        <v>0.52313988270932665</v>
      </c>
    </row>
    <row r="65" spans="3:22" ht="10" customHeight="1" x14ac:dyDescent="0.15">
      <c r="C65" s="11" t="s">
        <v>46</v>
      </c>
      <c r="D65" s="14" t="s">
        <v>66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7" spans="3:22" ht="10" customHeight="1" x14ac:dyDescent="0.15">
      <c r="C67" s="10" t="s">
        <v>16</v>
      </c>
      <c r="I67" s="10" t="s">
        <v>24</v>
      </c>
    </row>
    <row r="68" spans="3:22" ht="10" customHeight="1" x14ac:dyDescent="0.15">
      <c r="C68" s="17" cm="1">
        <f t="array" aca="1" ref="C68:G80" ca="1">_xlfn.RANDARRAY(13, 5, -1, 1)</f>
        <v>-0.555777095390946</v>
      </c>
      <c r="D68" s="17">
        <f ca="1"/>
        <v>-0.71368728656345404</v>
      </c>
      <c r="E68" s="17">
        <f ca="1"/>
        <v>-0.47606326187370418</v>
      </c>
      <c r="F68" s="17">
        <f ca="1"/>
        <v>-0.14357133066303596</v>
      </c>
      <c r="G68" s="17">
        <f ca="1"/>
        <v>0.12764380633765815</v>
      </c>
      <c r="I68" s="19" cm="1">
        <f t="array" aca="1" ref="I68:O80" ca="1">MMULT(ABH!C68:G80,ABH!C42:I46)</f>
        <v>0.30828628563241756</v>
      </c>
      <c r="J68" s="19">
        <f ca="1"/>
        <v>-0.27882282027748984</v>
      </c>
      <c r="K68" s="19">
        <f ca="1"/>
        <v>0.20461227018301581</v>
      </c>
      <c r="L68" s="19">
        <f ca="1"/>
        <v>-0.30808451537872511</v>
      </c>
      <c r="M68" s="19">
        <f ca="1"/>
        <v>0.19772278672147425</v>
      </c>
      <c r="N68" s="19">
        <f ca="1"/>
        <v>-2.9426203265347554E-2</v>
      </c>
      <c r="O68" s="19">
        <f ca="1"/>
        <v>0.79213792705534114</v>
      </c>
    </row>
    <row r="69" spans="3:22" ht="10" customHeight="1" x14ac:dyDescent="0.15">
      <c r="C69" s="17">
        <f ca="1"/>
        <v>-0.19900914587933594</v>
      </c>
      <c r="D69" s="17">
        <f ca="1"/>
        <v>-0.2780111443574147</v>
      </c>
      <c r="E69" s="17">
        <f ca="1"/>
        <v>-0.60062718234531554</v>
      </c>
      <c r="F69" s="17">
        <f ca="1"/>
        <v>-0.71144706377618028</v>
      </c>
      <c r="G69" s="17">
        <f ca="1"/>
        <v>-3.992414903779129E-2</v>
      </c>
      <c r="I69" s="19">
        <f ca="1"/>
        <v>8.3472299039917139E-2</v>
      </c>
      <c r="J69" s="19">
        <f ca="1"/>
        <v>0.34970470917373742</v>
      </c>
      <c r="K69" s="19">
        <f ca="1"/>
        <v>0.43683785680308634</v>
      </c>
      <c r="L69" s="19">
        <f ca="1"/>
        <v>0.34989332214545166</v>
      </c>
      <c r="M69" s="19">
        <f ca="1"/>
        <v>-3.5152101857482E-2</v>
      </c>
      <c r="N69" s="19">
        <f ca="1"/>
        <v>3.6381143879384244E-2</v>
      </c>
      <c r="O69" s="19">
        <f ca="1"/>
        <v>0.87686412674565295</v>
      </c>
    </row>
    <row r="70" spans="3:22" ht="10" customHeight="1" x14ac:dyDescent="0.15">
      <c r="C70" s="17">
        <f ca="1"/>
        <v>-0.51908518377753055</v>
      </c>
      <c r="D70" s="17">
        <f ca="1"/>
        <v>0.13751047097807101</v>
      </c>
      <c r="E70" s="17">
        <f ca="1"/>
        <v>0.69367948269155999</v>
      </c>
      <c r="F70" s="17">
        <f ca="1"/>
        <v>-0.9169394689089283</v>
      </c>
      <c r="G70" s="17">
        <f ca="1"/>
        <v>0.55772112166758214</v>
      </c>
      <c r="I70" s="19">
        <f ca="1"/>
        <v>-0.66592814963801272</v>
      </c>
      <c r="J70" s="19">
        <f ca="1"/>
        <v>0.85446221484398288</v>
      </c>
      <c r="K70" s="19">
        <f ca="1"/>
        <v>-0.73059459715156128</v>
      </c>
      <c r="L70" s="19">
        <f ca="1"/>
        <v>-0.48472930619598786</v>
      </c>
      <c r="M70" s="19">
        <f ca="1"/>
        <v>-0.68558709249472327</v>
      </c>
      <c r="N70" s="19">
        <f ca="1"/>
        <v>0.30356361366449708</v>
      </c>
      <c r="O70" s="19">
        <f ca="1"/>
        <v>5.6144886464567865E-3</v>
      </c>
    </row>
    <row r="71" spans="3:22" ht="10" customHeight="1" x14ac:dyDescent="0.15">
      <c r="C71" s="17">
        <f ca="1"/>
        <v>-0.20240760395184765</v>
      </c>
      <c r="D71" s="17">
        <f ca="1"/>
        <v>0.49727931011597759</v>
      </c>
      <c r="E71" s="17">
        <f ca="1"/>
        <v>0.4820330430342239</v>
      </c>
      <c r="F71" s="17">
        <f ca="1"/>
        <v>-0.56481317409853959</v>
      </c>
      <c r="G71" s="17">
        <f ca="1"/>
        <v>0.32463111315716131</v>
      </c>
      <c r="I71" s="19">
        <f ca="1"/>
        <v>-0.6970353500003259</v>
      </c>
      <c r="J71" s="19">
        <f ca="1"/>
        <v>0.78759027022040096</v>
      </c>
      <c r="K71" s="19">
        <f ca="1"/>
        <v>-0.57824880053666916</v>
      </c>
      <c r="L71" s="19">
        <f ca="1"/>
        <v>-0.11491319026113905</v>
      </c>
      <c r="M71" s="19">
        <f ca="1"/>
        <v>-0.68061678348539667</v>
      </c>
      <c r="N71" s="19">
        <f ca="1"/>
        <v>5.8182130867204862E-2</v>
      </c>
      <c r="O71" s="19">
        <f ca="1"/>
        <v>-0.29361981292683176</v>
      </c>
    </row>
    <row r="72" spans="3:22" ht="10" customHeight="1" x14ac:dyDescent="0.15">
      <c r="C72" s="17">
        <f ca="1"/>
        <v>0.53840419834101594</v>
      </c>
      <c r="D72" s="17">
        <f ca="1"/>
        <v>0.69664174107483001</v>
      </c>
      <c r="E72" s="17">
        <f ca="1"/>
        <v>-0.50036337761714056</v>
      </c>
      <c r="F72" s="17">
        <f ca="1"/>
        <v>0.93697314272984444</v>
      </c>
      <c r="G72" s="17">
        <f ca="1"/>
        <v>-0.87627840814749591</v>
      </c>
      <c r="I72" s="19">
        <f ca="1"/>
        <v>0.10989948691761764</v>
      </c>
      <c r="J72" s="19">
        <f ca="1"/>
        <v>-0.32296597638567209</v>
      </c>
      <c r="K72" s="19">
        <f ca="1"/>
        <v>0.31321437695954446</v>
      </c>
      <c r="L72" s="19">
        <f ca="1"/>
        <v>0.90745758602413595</v>
      </c>
      <c r="M72" s="19">
        <f ca="1"/>
        <v>0.17380601491763475</v>
      </c>
      <c r="N72" s="19">
        <f ca="1"/>
        <v>-0.79816116886413235</v>
      </c>
      <c r="O72" s="19">
        <f ca="1"/>
        <v>-0.67218475708484526</v>
      </c>
    </row>
    <row r="73" spans="3:22" ht="10" customHeight="1" x14ac:dyDescent="0.15">
      <c r="C73" s="17">
        <f ca="1"/>
        <v>9.5731606968662453E-2</v>
      </c>
      <c r="D73" s="17">
        <f ca="1"/>
        <v>0.58451976032348707</v>
      </c>
      <c r="E73" s="17">
        <f ca="1"/>
        <v>-0.46905943847292231</v>
      </c>
      <c r="F73" s="17">
        <f ca="1"/>
        <v>0.26847731874472092</v>
      </c>
      <c r="G73" s="17">
        <f ca="1"/>
        <v>0.37085616165826529</v>
      </c>
      <c r="I73" s="19">
        <f ca="1"/>
        <v>-0.54361248149816743</v>
      </c>
      <c r="J73" s="19">
        <f ca="1"/>
        <v>0.22782520862527805</v>
      </c>
      <c r="K73" s="19">
        <f ca="1"/>
        <v>-2.1520606980058254E-2</v>
      </c>
      <c r="L73" s="19">
        <f ca="1"/>
        <v>0.11244739424339151</v>
      </c>
      <c r="M73" s="19">
        <f ca="1"/>
        <v>-0.52525557326049788</v>
      </c>
      <c r="N73" s="19">
        <f ca="1"/>
        <v>-0.30277899365083982</v>
      </c>
      <c r="O73" s="19">
        <f ca="1"/>
        <v>-0.25453934927069166</v>
      </c>
    </row>
    <row r="74" spans="3:22" ht="10" customHeight="1" x14ac:dyDescent="0.15">
      <c r="C74" s="17">
        <f ca="1"/>
        <v>-0.73727312122942235</v>
      </c>
      <c r="D74" s="17">
        <f ca="1"/>
        <v>-0.32516629539647091</v>
      </c>
      <c r="E74" s="17">
        <f ca="1"/>
        <v>-0.23301448987390461</v>
      </c>
      <c r="F74" s="17">
        <f ca="1"/>
        <v>0.79354676268223656</v>
      </c>
      <c r="G74" s="17">
        <f ca="1"/>
        <v>-0.90902415535361381</v>
      </c>
      <c r="I74" s="19">
        <f ca="1"/>
        <v>0.43696585832843726</v>
      </c>
      <c r="J74" s="19">
        <f ca="1"/>
        <v>-0.71243594228858609</v>
      </c>
      <c r="K74" s="19">
        <f ca="1"/>
        <v>-0.22662323513544524</v>
      </c>
      <c r="L74" s="19">
        <f ca="1"/>
        <v>-7.600620458810603E-3</v>
      </c>
      <c r="M74" s="19">
        <f ca="1"/>
        <v>0.38454305263080124</v>
      </c>
      <c r="N74" s="19">
        <f ca="1"/>
        <v>-0.97392094834477327</v>
      </c>
      <c r="O74" s="19">
        <f ca="1"/>
        <v>-0.10653016951110401</v>
      </c>
    </row>
    <row r="75" spans="3:22" ht="10" customHeight="1" x14ac:dyDescent="0.15">
      <c r="C75" s="17">
        <f ca="1"/>
        <v>-0.20137238199815055</v>
      </c>
      <c r="D75" s="17">
        <f ca="1"/>
        <v>-0.62606762386519677</v>
      </c>
      <c r="E75" s="17">
        <f ca="1"/>
        <v>0.37827721195924835</v>
      </c>
      <c r="F75" s="17">
        <f ca="1"/>
        <v>0.12836754635709524</v>
      </c>
      <c r="G75" s="17">
        <f ca="1"/>
        <v>0.73538759037620527</v>
      </c>
      <c r="I75" s="19">
        <f ca="1"/>
        <v>0.16076588359087729</v>
      </c>
      <c r="J75" s="19">
        <f ca="1"/>
        <v>-0.44283831801674883</v>
      </c>
      <c r="K75" s="19">
        <f ca="1"/>
        <v>-0.19459751041399043</v>
      </c>
      <c r="L75" s="19">
        <f ca="1"/>
        <v>-0.98101558406351685</v>
      </c>
      <c r="M75" s="19">
        <f ca="1"/>
        <v>0.17717560946098437</v>
      </c>
      <c r="N75" s="19">
        <f ca="1"/>
        <v>0.56603034463074897</v>
      </c>
      <c r="O75" s="19">
        <f ca="1"/>
        <v>0.14314284908690181</v>
      </c>
    </row>
    <row r="76" spans="3:22" ht="10" customHeight="1" x14ac:dyDescent="0.15">
      <c r="C76" s="17">
        <f ca="1"/>
        <v>-0.42504931157542702</v>
      </c>
      <c r="D76" s="17">
        <f ca="1"/>
        <v>0.12878669220266525</v>
      </c>
      <c r="E76" s="17">
        <f ca="1"/>
        <v>0.87676969205798083</v>
      </c>
      <c r="F76" s="17">
        <f ca="1"/>
        <v>-0.81154008092203966</v>
      </c>
      <c r="G76" s="17">
        <f ca="1"/>
        <v>-0.70554867264837129</v>
      </c>
      <c r="I76" s="19">
        <f ca="1"/>
        <v>-0.12148011312758522</v>
      </c>
      <c r="J76" s="19">
        <f ca="1"/>
        <v>0.67191041396013618</v>
      </c>
      <c r="K76" s="19">
        <f ca="1"/>
        <v>-0.60847573507985475</v>
      </c>
      <c r="L76" s="19">
        <f ca="1"/>
        <v>0.24644150053971631</v>
      </c>
      <c r="M76" s="19">
        <f ca="1"/>
        <v>-0.1431427895085578</v>
      </c>
      <c r="N76" s="19">
        <f ca="1"/>
        <v>-0.12751207948682941</v>
      </c>
      <c r="O76" s="19">
        <f ca="1"/>
        <v>-0.16571106565039379</v>
      </c>
    </row>
    <row r="77" spans="3:22" ht="10" customHeight="1" x14ac:dyDescent="0.15">
      <c r="C77" s="17">
        <f ca="1"/>
        <v>0.32595667352027435</v>
      </c>
      <c r="D77" s="17">
        <f ca="1"/>
        <v>-0.16859633176421229</v>
      </c>
      <c r="E77" s="17">
        <f ca="1"/>
        <v>-0.76610310038232021</v>
      </c>
      <c r="F77" s="17">
        <f ca="1"/>
        <v>2.0072161577840975E-2</v>
      </c>
      <c r="G77" s="17">
        <f ca="1"/>
        <v>-0.69496349421017967</v>
      </c>
      <c r="I77" s="19">
        <f ca="1"/>
        <v>0.55274308986680598</v>
      </c>
      <c r="J77" s="19">
        <f ca="1"/>
        <v>-0.22009162618906022</v>
      </c>
      <c r="K77" s="19">
        <f ca="1"/>
        <v>0.81219039298226392</v>
      </c>
      <c r="L77" s="19">
        <f ca="1"/>
        <v>0.8308686204312572</v>
      </c>
      <c r="M77" s="19">
        <f ca="1"/>
        <v>0.49218721713797808</v>
      </c>
      <c r="N77" s="19">
        <f ca="1"/>
        <v>-0.22107559140447086</v>
      </c>
      <c r="O77" s="19">
        <f ca="1"/>
        <v>0.5147771542494789</v>
      </c>
    </row>
    <row r="78" spans="3:22" ht="10" customHeight="1" x14ac:dyDescent="0.15">
      <c r="C78" s="17">
        <f ca="1"/>
        <v>-0.95956975989213222</v>
      </c>
      <c r="D78" s="17">
        <f ca="1"/>
        <v>-0.97507411240653608</v>
      </c>
      <c r="E78" s="17">
        <f ca="1"/>
        <v>-0.73885639550138404</v>
      </c>
      <c r="F78" s="17">
        <f ca="1"/>
        <v>-0.30320181548815661</v>
      </c>
      <c r="G78" s="17">
        <f ca="1"/>
        <v>-1.4316714277473386E-2</v>
      </c>
      <c r="I78" s="19">
        <f ca="1"/>
        <v>0.40298657101176177</v>
      </c>
      <c r="J78" s="19">
        <f ca="1"/>
        <v>-0.28268324250814364</v>
      </c>
      <c r="K78" s="19">
        <f ca="1"/>
        <v>0.23577531133852148</v>
      </c>
      <c r="L78" s="19">
        <f ca="1"/>
        <v>-0.30459846798550388</v>
      </c>
      <c r="M78" s="19">
        <f ca="1"/>
        <v>0.22013330015286775</v>
      </c>
      <c r="N78" s="19">
        <f ca="1"/>
        <v>-0.23783102857971597</v>
      </c>
      <c r="O78" s="19">
        <f ca="1"/>
        <v>1.1786212968812348</v>
      </c>
    </row>
    <row r="79" spans="3:22" ht="10" customHeight="1" x14ac:dyDescent="0.15">
      <c r="C79" s="17">
        <f ca="1"/>
        <v>0.56653026012540586</v>
      </c>
      <c r="D79" s="17">
        <f ca="1"/>
        <v>-0.9853862983373749</v>
      </c>
      <c r="E79" s="17">
        <f ca="1"/>
        <v>0.95241200993087571</v>
      </c>
      <c r="F79" s="17">
        <f ca="1"/>
        <v>0.20040805481622126</v>
      </c>
      <c r="G79" s="17">
        <f ca="1"/>
        <v>-0.62329190282385838</v>
      </c>
      <c r="I79" s="19">
        <f ca="1"/>
        <v>1.2850620326581188</v>
      </c>
      <c r="J79" s="19">
        <f ca="1"/>
        <v>-0.9697671239275496</v>
      </c>
      <c r="K79" s="19">
        <f ca="1"/>
        <v>0.33689794338296375</v>
      </c>
      <c r="L79" s="19">
        <f ca="1"/>
        <v>-0.19881633058851528</v>
      </c>
      <c r="M79" s="19">
        <f ca="1"/>
        <v>1.3578481798910114</v>
      </c>
      <c r="N79" s="19">
        <f ca="1"/>
        <v>0.82426632233809616</v>
      </c>
      <c r="O79" s="19">
        <f ca="1"/>
        <v>1.6372461878828182E-2</v>
      </c>
    </row>
    <row r="80" spans="3:22" ht="10" customHeight="1" x14ac:dyDescent="0.15">
      <c r="C80" s="17">
        <f ca="1"/>
        <v>-0.48126481534254806</v>
      </c>
      <c r="D80" s="17">
        <f ca="1"/>
        <v>-0.89482714351044512</v>
      </c>
      <c r="E80" s="17">
        <f ca="1"/>
        <v>-0.7669889111773307</v>
      </c>
      <c r="F80" s="17">
        <f ca="1"/>
        <v>-0.67904784983877153</v>
      </c>
      <c r="G80" s="17">
        <f ca="1"/>
        <v>0.14351763795059824</v>
      </c>
      <c r="I80" s="19">
        <f ca="1"/>
        <v>0.41576631995849589</v>
      </c>
      <c r="J80" s="19">
        <f ca="1"/>
        <v>-3.3922923734946819E-2</v>
      </c>
      <c r="K80" s="19">
        <f ca="1"/>
        <v>0.57697972070318437</v>
      </c>
      <c r="L80" s="19">
        <f ca="1"/>
        <v>-4.267174755371958E-2</v>
      </c>
      <c r="M80" s="19">
        <f ca="1"/>
        <v>0.24616780390285098</v>
      </c>
      <c r="N80" s="19">
        <f ca="1"/>
        <v>0.19082418100971055</v>
      </c>
      <c r="O80" s="19">
        <f ca="1"/>
        <v>1.3510893439118576</v>
      </c>
    </row>
    <row r="82" spans="3:23" ht="10" customHeight="1" x14ac:dyDescent="0.15">
      <c r="C82" s="11" t="s">
        <v>47</v>
      </c>
      <c r="D82" s="14" t="s">
        <v>67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4" spans="3:23" ht="10" customHeight="1" x14ac:dyDescent="0.15">
      <c r="C84" s="10" t="s">
        <v>17</v>
      </c>
      <c r="I84" s="10" t="s">
        <v>25</v>
      </c>
    </row>
    <row r="85" spans="3:23" ht="10" customHeight="1" x14ac:dyDescent="0.15">
      <c r="C85" s="17" cm="1">
        <f t="array" aca="1" ref="C85:G88" ca="1">_xlfn.RANDARRAY(4, 5, -1, 1)</f>
        <v>0.23748914742075833</v>
      </c>
      <c r="D85" s="17">
        <f ca="1"/>
        <v>-0.86508817479141253</v>
      </c>
      <c r="E85" s="17">
        <f ca="1"/>
        <v>-7.9444596776276688E-2</v>
      </c>
      <c r="F85" s="17">
        <f ca="1"/>
        <v>-0.36467244600613435</v>
      </c>
      <c r="G85" s="17">
        <f ca="1"/>
        <v>-0.84314187661512574</v>
      </c>
      <c r="I85" s="19" cm="1">
        <f t="array" aca="1" ref="I85:O88" ca="1">MMULT(ABH!C85:G88,ABH!C42:I46)</f>
        <v>1.0860130006704036</v>
      </c>
      <c r="J85" s="19">
        <f ca="1"/>
        <v>-0.43277599557761542</v>
      </c>
      <c r="K85" s="19">
        <f ca="1"/>
        <v>0.75397164230310509</v>
      </c>
      <c r="L85" s="19">
        <f ca="1"/>
        <v>0.48755724839716036</v>
      </c>
      <c r="M85" s="19">
        <f ca="1"/>
        <v>1.0181935971670275</v>
      </c>
      <c r="N85" s="19">
        <f ca="1"/>
        <v>0.33241130774231886</v>
      </c>
      <c r="O85" s="19">
        <f ca="1"/>
        <v>0.78772214063003287</v>
      </c>
    </row>
    <row r="86" spans="3:23" ht="10" customHeight="1" x14ac:dyDescent="0.15">
      <c r="C86" s="17">
        <f ca="1"/>
        <v>9.1822067389180306E-2</v>
      </c>
      <c r="D86" s="17">
        <f ca="1"/>
        <v>-0.72594774883627444</v>
      </c>
      <c r="E86" s="17">
        <f ca="1"/>
        <v>0.72741337133979345</v>
      </c>
      <c r="F86" s="17">
        <f ca="1"/>
        <v>0.43774974527254451</v>
      </c>
      <c r="G86" s="17">
        <f ca="1"/>
        <v>0.93487700926982376</v>
      </c>
      <c r="I86" s="19">
        <f ca="1"/>
        <v>0.31543894095753405</v>
      </c>
      <c r="J86" s="19">
        <f ca="1"/>
        <v>-0.77102268606132329</v>
      </c>
      <c r="K86" s="19">
        <f ca="1"/>
        <v>-0.22242383548467601</v>
      </c>
      <c r="L86" s="19">
        <f ca="1"/>
        <v>-1.2839626060618081</v>
      </c>
      <c r="M86" s="19">
        <f ca="1"/>
        <v>0.39977272235190353</v>
      </c>
      <c r="N86" s="19">
        <f ca="1"/>
        <v>0.89370707555679929</v>
      </c>
      <c r="O86" s="19">
        <f ca="1"/>
        <v>-0.13440090066960722</v>
      </c>
    </row>
    <row r="87" spans="3:23" ht="10" customHeight="1" x14ac:dyDescent="0.15">
      <c r="C87" s="17">
        <f ca="1"/>
        <v>-0.93440429940265934</v>
      </c>
      <c r="D87" s="17">
        <f ca="1"/>
        <v>-0.47386302190818164</v>
      </c>
      <c r="E87" s="17">
        <f ca="1"/>
        <v>-0.56442952995325979</v>
      </c>
      <c r="F87" s="17">
        <f ca="1"/>
        <v>0.58899036100832558</v>
      </c>
      <c r="G87" s="17">
        <f ca="1"/>
        <v>-0.39863319485564386</v>
      </c>
      <c r="I87" s="19">
        <f ca="1"/>
        <v>0.26289951740176015</v>
      </c>
      <c r="J87" s="19">
        <f ca="1"/>
        <v>-0.59832297312450911</v>
      </c>
      <c r="K87" s="19">
        <f ca="1"/>
        <v>-0.14888071071244779</v>
      </c>
      <c r="L87" s="19">
        <f ca="1"/>
        <v>-0.25557276964603648</v>
      </c>
      <c r="M87" s="19">
        <f ca="1"/>
        <v>0.16356722281246494</v>
      </c>
      <c r="N87" s="19">
        <f ca="1"/>
        <v>-0.84922049121849341</v>
      </c>
      <c r="O87" s="19">
        <f ca="1"/>
        <v>0.28431096656665761</v>
      </c>
    </row>
    <row r="88" spans="3:23" ht="10" customHeight="1" x14ac:dyDescent="0.15">
      <c r="C88" s="17">
        <f ca="1"/>
        <v>0.93545319740352739</v>
      </c>
      <c r="D88" s="17">
        <f ca="1"/>
        <v>0.83716055372308307</v>
      </c>
      <c r="E88" s="17">
        <f ca="1"/>
        <v>0.37156267438182478</v>
      </c>
      <c r="F88" s="17">
        <f ca="1"/>
        <v>-0.34932247428752095</v>
      </c>
      <c r="G88" s="17">
        <f ca="1"/>
        <v>0.92647784252380627</v>
      </c>
      <c r="I88" s="19">
        <f ca="1"/>
        <v>-0.73130817898495215</v>
      </c>
      <c r="J88" s="19">
        <f ca="1"/>
        <v>0.71690990093174489</v>
      </c>
      <c r="K88" s="19">
        <f ca="1"/>
        <v>-1.0976193575550686E-2</v>
      </c>
      <c r="L88" s="19">
        <f ca="1"/>
        <v>4.4157875507506938E-2</v>
      </c>
      <c r="M88" s="19">
        <f ca="1"/>
        <v>-0.60515656896890069</v>
      </c>
      <c r="N88" s="19">
        <f ca="1"/>
        <v>0.75292748535743526</v>
      </c>
      <c r="O88" s="19">
        <f ca="1"/>
        <v>-0.53039396746470557</v>
      </c>
    </row>
    <row r="90" spans="3:23" ht="10" customHeight="1" x14ac:dyDescent="0.15">
      <c r="C90" s="11" t="s">
        <v>48</v>
      </c>
      <c r="D90" s="14" t="s">
        <v>68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2" spans="3:23" ht="10" customHeight="1" x14ac:dyDescent="0.15">
      <c r="C92" s="10" t="s">
        <v>19</v>
      </c>
      <c r="Q92" s="10" t="s">
        <v>26</v>
      </c>
    </row>
    <row r="93" spans="3:23" ht="10" customHeight="1" x14ac:dyDescent="0.15">
      <c r="C93" s="20" cm="1">
        <f t="array" aca="1" ref="C93:O99" ca="1">TRANSPOSE(ABH!I68:O80)</f>
        <v>0.30828628563241756</v>
      </c>
      <c r="D93" s="20">
        <f ca="1"/>
        <v>8.3472299039917139E-2</v>
      </c>
      <c r="E93" s="20">
        <f ca="1"/>
        <v>-0.66592814963801272</v>
      </c>
      <c r="F93" s="20">
        <f ca="1"/>
        <v>-0.6970353500003259</v>
      </c>
      <c r="G93" s="20">
        <f ca="1"/>
        <v>0.10989948691761764</v>
      </c>
      <c r="H93" s="20">
        <f ca="1"/>
        <v>-0.54361248149816743</v>
      </c>
      <c r="I93" s="20">
        <f ca="1"/>
        <v>0.43696585832843726</v>
      </c>
      <c r="J93" s="20">
        <f ca="1"/>
        <v>0.16076588359087729</v>
      </c>
      <c r="K93" s="20">
        <f ca="1"/>
        <v>-0.12148011312758522</v>
      </c>
      <c r="L93" s="20">
        <f ca="1"/>
        <v>0.55274308986680598</v>
      </c>
      <c r="M93" s="20">
        <f ca="1"/>
        <v>0.40298657101176177</v>
      </c>
      <c r="N93" s="20">
        <f ca="1"/>
        <v>1.2850620326581188</v>
      </c>
      <c r="O93" s="20">
        <f ca="1"/>
        <v>0.41576631995849589</v>
      </c>
      <c r="Q93" s="19" cm="1">
        <f t="array" aca="1" ref="Q93:W99" ca="1">MMULT(ABH!C93:O99,ABH!I51:O63)</f>
        <v>-0.62198700195236034</v>
      </c>
      <c r="R93" s="19">
        <f ca="1"/>
        <v>0.41403857147380951</v>
      </c>
      <c r="S93" s="19">
        <f ca="1"/>
        <v>-2.1552240791537461E-2</v>
      </c>
      <c r="T93" s="19">
        <f ca="1"/>
        <v>0.68176370762478644</v>
      </c>
      <c r="U93" s="19">
        <f ca="1"/>
        <v>-0.50796673312302365</v>
      </c>
      <c r="V93" s="19">
        <f ca="1"/>
        <v>-0.3460083120482072</v>
      </c>
      <c r="W93" s="19">
        <f ca="1"/>
        <v>-0.92961404587071672</v>
      </c>
    </row>
    <row r="94" spans="3:23" ht="10" customHeight="1" x14ac:dyDescent="0.15">
      <c r="C94" s="20">
        <f ca="1"/>
        <v>-0.27882282027748984</v>
      </c>
      <c r="D94" s="20">
        <f ca="1"/>
        <v>0.34970470917373742</v>
      </c>
      <c r="E94" s="20">
        <f ca="1"/>
        <v>0.85446221484398288</v>
      </c>
      <c r="F94" s="20">
        <f ca="1"/>
        <v>0.78759027022040096</v>
      </c>
      <c r="G94" s="20">
        <f ca="1"/>
        <v>-0.32296597638567209</v>
      </c>
      <c r="H94" s="20">
        <f ca="1"/>
        <v>0.22782520862527805</v>
      </c>
      <c r="I94" s="20">
        <f ca="1"/>
        <v>-0.71243594228858609</v>
      </c>
      <c r="J94" s="20">
        <f ca="1"/>
        <v>-0.44283831801674883</v>
      </c>
      <c r="K94" s="20">
        <f ca="1"/>
        <v>0.67191041396013618</v>
      </c>
      <c r="L94" s="20">
        <f ca="1"/>
        <v>-0.22009162618906022</v>
      </c>
      <c r="M94" s="20">
        <f ca="1"/>
        <v>-0.28268324250814364</v>
      </c>
      <c r="N94" s="20">
        <f ca="1"/>
        <v>-0.9697671239275496</v>
      </c>
      <c r="O94" s="20">
        <f ca="1"/>
        <v>-3.3922923734946819E-2</v>
      </c>
      <c r="Q94" s="19">
        <f ca="1"/>
        <v>0.92771625704845506</v>
      </c>
      <c r="R94" s="19">
        <f ca="1"/>
        <v>-0.25311130495206952</v>
      </c>
      <c r="S94" s="19">
        <f ca="1"/>
        <v>0.21587928464404382</v>
      </c>
      <c r="T94" s="19">
        <f ca="1"/>
        <v>-0.97873939760101258</v>
      </c>
      <c r="U94" s="19">
        <f ca="1"/>
        <v>0.83768045007574288</v>
      </c>
      <c r="V94" s="19">
        <f ca="1"/>
        <v>1.5023233475359719</v>
      </c>
      <c r="W94" s="19">
        <f ca="1"/>
        <v>1.3136466626800498</v>
      </c>
    </row>
    <row r="95" spans="3:23" ht="10" customHeight="1" x14ac:dyDescent="0.15">
      <c r="C95" s="20">
        <f ca="1"/>
        <v>0.20461227018301581</v>
      </c>
      <c r="D95" s="20">
        <f ca="1"/>
        <v>0.43683785680308634</v>
      </c>
      <c r="E95" s="20">
        <f ca="1"/>
        <v>-0.73059459715156128</v>
      </c>
      <c r="F95" s="20">
        <f ca="1"/>
        <v>-0.57824880053666916</v>
      </c>
      <c r="G95" s="20">
        <f ca="1"/>
        <v>0.31321437695954446</v>
      </c>
      <c r="H95" s="20">
        <f ca="1"/>
        <v>-2.1520606980058254E-2</v>
      </c>
      <c r="I95" s="20">
        <f ca="1"/>
        <v>-0.22662323513544524</v>
      </c>
      <c r="J95" s="20">
        <f ca="1"/>
        <v>-0.19459751041399043</v>
      </c>
      <c r="K95" s="20">
        <f ca="1"/>
        <v>-0.60847573507985475</v>
      </c>
      <c r="L95" s="20">
        <f ca="1"/>
        <v>0.81219039298226392</v>
      </c>
      <c r="M95" s="20">
        <f ca="1"/>
        <v>0.23577531133852148</v>
      </c>
      <c r="N95" s="20">
        <f ca="1"/>
        <v>0.33689794338296375</v>
      </c>
      <c r="O95" s="20">
        <f ca="1"/>
        <v>0.57697972070318437</v>
      </c>
      <c r="Q95" s="19">
        <f ca="1"/>
        <v>0.46946339474870419</v>
      </c>
      <c r="R95" s="19">
        <f ca="1"/>
        <v>-0.18225488652697022</v>
      </c>
      <c r="S95" s="19">
        <f ca="1"/>
        <v>1.702729959352445</v>
      </c>
      <c r="T95" s="19">
        <f ca="1"/>
        <v>1.50963024181062</v>
      </c>
      <c r="U95" s="19">
        <f ca="1"/>
        <v>0.42916794150179444</v>
      </c>
      <c r="V95" s="19">
        <f ca="1"/>
        <v>-0.12464612621894883</v>
      </c>
      <c r="W95" s="19">
        <f ca="1"/>
        <v>0.67780452825540172</v>
      </c>
    </row>
    <row r="96" spans="3:23" ht="10" customHeight="1" x14ac:dyDescent="0.15">
      <c r="C96" s="20">
        <f ca="1"/>
        <v>-0.30808451537872511</v>
      </c>
      <c r="D96" s="20">
        <f ca="1"/>
        <v>0.34989332214545166</v>
      </c>
      <c r="E96" s="20">
        <f ca="1"/>
        <v>-0.48472930619598786</v>
      </c>
      <c r="F96" s="20">
        <f ca="1"/>
        <v>-0.11491319026113905</v>
      </c>
      <c r="G96" s="20">
        <f ca="1"/>
        <v>0.90745758602413595</v>
      </c>
      <c r="H96" s="20">
        <f ca="1"/>
        <v>0.11244739424339151</v>
      </c>
      <c r="I96" s="20">
        <f ca="1"/>
        <v>-7.600620458810603E-3</v>
      </c>
      <c r="J96" s="20">
        <f ca="1"/>
        <v>-0.98101558406351685</v>
      </c>
      <c r="K96" s="20">
        <f ca="1"/>
        <v>0.24644150053971631</v>
      </c>
      <c r="L96" s="20">
        <f ca="1"/>
        <v>0.8308686204312572</v>
      </c>
      <c r="M96" s="20">
        <f ca="1"/>
        <v>-0.30459846798550388</v>
      </c>
      <c r="N96" s="20">
        <f ca="1"/>
        <v>-0.19881633058851528</v>
      </c>
      <c r="O96" s="20">
        <f ca="1"/>
        <v>-4.267174755371958E-2</v>
      </c>
      <c r="Q96" s="19">
        <f ca="1"/>
        <v>0.12334506519227582</v>
      </c>
      <c r="R96" s="19">
        <f ca="1"/>
        <v>0.53139915030216989</v>
      </c>
      <c r="S96" s="19">
        <f ca="1"/>
        <v>1.4216728746012102</v>
      </c>
      <c r="T96" s="19">
        <f ca="1"/>
        <v>1.7289536279520783</v>
      </c>
      <c r="U96" s="19">
        <f ca="1"/>
        <v>-9.4091713101050328E-2</v>
      </c>
      <c r="V96" s="19">
        <f ca="1"/>
        <v>-0.78919169866365435</v>
      </c>
      <c r="W96" s="19">
        <f ca="1"/>
        <v>1.4037795195415272</v>
      </c>
    </row>
    <row r="97" spans="3:23" ht="10" customHeight="1" x14ac:dyDescent="0.15">
      <c r="C97" s="20">
        <f ca="1"/>
        <v>0.19772278672147425</v>
      </c>
      <c r="D97" s="20">
        <f ca="1"/>
        <v>-3.5152101857482E-2</v>
      </c>
      <c r="E97" s="20">
        <f ca="1"/>
        <v>-0.68558709249472327</v>
      </c>
      <c r="F97" s="20">
        <f ca="1"/>
        <v>-0.68061678348539667</v>
      </c>
      <c r="G97" s="20">
        <f ca="1"/>
        <v>0.17380601491763475</v>
      </c>
      <c r="H97" s="20">
        <f ca="1"/>
        <v>-0.52525557326049788</v>
      </c>
      <c r="I97" s="20">
        <f ca="1"/>
        <v>0.38454305263080124</v>
      </c>
      <c r="J97" s="20">
        <f ca="1"/>
        <v>0.17717560946098437</v>
      </c>
      <c r="K97" s="20">
        <f ca="1"/>
        <v>-0.1431427895085578</v>
      </c>
      <c r="L97" s="20">
        <f ca="1"/>
        <v>0.49218721713797808</v>
      </c>
      <c r="M97" s="20">
        <f ca="1"/>
        <v>0.22013330015286775</v>
      </c>
      <c r="N97" s="20">
        <f ca="1"/>
        <v>1.3578481798910114</v>
      </c>
      <c r="O97" s="20">
        <f ca="1"/>
        <v>0.24616780390285098</v>
      </c>
      <c r="Q97" s="19">
        <f ca="1"/>
        <v>-0.53019600039585413</v>
      </c>
      <c r="R97" s="19">
        <f ca="1"/>
        <v>0.38511114761878112</v>
      </c>
      <c r="S97" s="19">
        <f ca="1"/>
        <v>-4.0206438111077422E-2</v>
      </c>
      <c r="T97" s="19">
        <f ca="1"/>
        <v>0.73288401434740258</v>
      </c>
      <c r="U97" s="19">
        <f ca="1"/>
        <v>-0.40348193577044222</v>
      </c>
      <c r="V97" s="19">
        <f ca="1"/>
        <v>-0.31127019343198925</v>
      </c>
      <c r="W97" s="19">
        <f ca="1"/>
        <v>-1.0068984381488322</v>
      </c>
    </row>
    <row r="98" spans="3:23" ht="10" customHeight="1" x14ac:dyDescent="0.15">
      <c r="C98" s="20">
        <f ca="1"/>
        <v>-2.9426203265347554E-2</v>
      </c>
      <c r="D98" s="20">
        <f ca="1"/>
        <v>3.6381143879384244E-2</v>
      </c>
      <c r="E98" s="20">
        <f ca="1"/>
        <v>0.30356361366449708</v>
      </c>
      <c r="F98" s="20">
        <f ca="1"/>
        <v>5.8182130867204862E-2</v>
      </c>
      <c r="G98" s="20">
        <f ca="1"/>
        <v>-0.79816116886413235</v>
      </c>
      <c r="H98" s="20">
        <f ca="1"/>
        <v>-0.30277899365083982</v>
      </c>
      <c r="I98" s="20">
        <f ca="1"/>
        <v>-0.97392094834477327</v>
      </c>
      <c r="J98" s="20">
        <f ca="1"/>
        <v>0.56603034463074897</v>
      </c>
      <c r="K98" s="20">
        <f ca="1"/>
        <v>-0.12751207948682941</v>
      </c>
      <c r="L98" s="20">
        <f ca="1"/>
        <v>-0.22107559140447086</v>
      </c>
      <c r="M98" s="20">
        <f ca="1"/>
        <v>-0.23783102857971597</v>
      </c>
      <c r="N98" s="20">
        <f ca="1"/>
        <v>0.82426632233809616</v>
      </c>
      <c r="O98" s="20">
        <f ca="1"/>
        <v>0.19082418100971055</v>
      </c>
      <c r="Q98" s="19">
        <f ca="1"/>
        <v>1.3493765215291875</v>
      </c>
      <c r="R98" s="19">
        <f ca="1"/>
        <v>-0.8313375748520504</v>
      </c>
      <c r="S98" s="19">
        <f ca="1"/>
        <v>0.12435744280315197</v>
      </c>
      <c r="T98" s="19">
        <f ca="1"/>
        <v>-1.0271291084384848</v>
      </c>
      <c r="U98" s="19">
        <f ca="1"/>
        <v>1.6087973037317951</v>
      </c>
      <c r="V98" s="19">
        <f ca="1"/>
        <v>2.6675855080321953</v>
      </c>
      <c r="W98" s="19">
        <f ca="1"/>
        <v>-0.45703219915054477</v>
      </c>
    </row>
    <row r="99" spans="3:23" ht="10" customHeight="1" x14ac:dyDescent="0.15">
      <c r="C99" s="20">
        <f ca="1"/>
        <v>0.79213792705534114</v>
      </c>
      <c r="D99" s="20">
        <f ca="1"/>
        <v>0.87686412674565295</v>
      </c>
      <c r="E99" s="20">
        <f ca="1"/>
        <v>5.6144886464567865E-3</v>
      </c>
      <c r="F99" s="20">
        <f ca="1"/>
        <v>-0.29361981292683176</v>
      </c>
      <c r="G99" s="20">
        <f ca="1"/>
        <v>-0.67218475708484526</v>
      </c>
      <c r="H99" s="20">
        <f ca="1"/>
        <v>-0.25453934927069166</v>
      </c>
      <c r="I99" s="20">
        <f ca="1"/>
        <v>-0.10653016951110401</v>
      </c>
      <c r="J99" s="20">
        <f ca="1"/>
        <v>0.14314284908690181</v>
      </c>
      <c r="K99" s="20">
        <f ca="1"/>
        <v>-0.16571106565039379</v>
      </c>
      <c r="L99" s="20">
        <f ca="1"/>
        <v>0.5147771542494789</v>
      </c>
      <c r="M99" s="20">
        <f ca="1"/>
        <v>1.1786212968812348</v>
      </c>
      <c r="N99" s="20">
        <f ca="1"/>
        <v>1.6372461878828182E-2</v>
      </c>
      <c r="O99" s="20">
        <f ca="1"/>
        <v>1.3510893439118576</v>
      </c>
      <c r="Q99" s="19">
        <f ca="1"/>
        <v>7.3179459087964527E-2</v>
      </c>
      <c r="R99" s="19">
        <f ca="1"/>
        <v>-0.2433415222762419</v>
      </c>
      <c r="S99" s="19">
        <f ca="1"/>
        <v>0.63589144945267639</v>
      </c>
      <c r="T99" s="19">
        <f ca="1"/>
        <v>-0.31442027258765709</v>
      </c>
      <c r="U99" s="19">
        <f ca="1"/>
        <v>9.9973762821989415E-2</v>
      </c>
      <c r="V99" s="19">
        <f ca="1"/>
        <v>0.7964662670574415</v>
      </c>
      <c r="W99" s="19">
        <f ca="1"/>
        <v>0.39588634833663272</v>
      </c>
    </row>
    <row r="101" spans="3:23" ht="10" customHeight="1" x14ac:dyDescent="0.15">
      <c r="C101" s="11" t="s">
        <v>49</v>
      </c>
      <c r="D101" s="14" t="s">
        <v>69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3" spans="3:23" ht="10" customHeight="1" x14ac:dyDescent="0.15">
      <c r="C103" s="10" t="s">
        <v>54</v>
      </c>
    </row>
    <row r="104" spans="3:23" ht="10" customHeight="1" x14ac:dyDescent="0.15">
      <c r="C104" s="21" cm="1">
        <f t="array" aca="1" ref="C104:I104" ca="1">_xlfn.BYCOL(ABH!Q93:W99, _xlfn.LAMBDA(_xlpm.col, SUMPRODUCT(ABS(_xlpm.col))))</f>
        <v>4.0952636999548018</v>
      </c>
      <c r="D104" s="21">
        <f ca="1"/>
        <v>2.8405941580020926</v>
      </c>
      <c r="E104" s="21">
        <f ca="1"/>
        <v>4.1622896897561432</v>
      </c>
      <c r="F104" s="21">
        <f ca="1"/>
        <v>6.9735203703620421</v>
      </c>
      <c r="G104" s="21">
        <f ca="1"/>
        <v>3.9811598401258377</v>
      </c>
      <c r="H104" s="21">
        <f ca="1"/>
        <v>6.5374914529884087</v>
      </c>
      <c r="I104" s="21">
        <f ca="1"/>
        <v>6.1846617419837058</v>
      </c>
    </row>
    <row r="106" spans="3:23" ht="10" customHeight="1" x14ac:dyDescent="0.15">
      <c r="C106" s="10" t="s">
        <v>59</v>
      </c>
    </row>
    <row r="107" spans="3:23" ht="10" customHeight="1" x14ac:dyDescent="0.15">
      <c r="C107" s="21" cm="1">
        <f t="array" aca="1" ref="C107:I113" ca="1">ABH!Q93:W99/IF(ABH!C104:I104=0,1, ABH!C104:I104)</f>
        <v>-0.15187959738935128</v>
      </c>
      <c r="D107" s="21">
        <f ca="1"/>
        <v>0.14575773533415276</v>
      </c>
      <c r="E107" s="21">
        <f ca="1"/>
        <v>-5.1779771226831989E-3</v>
      </c>
      <c r="F107" s="21">
        <f ca="1"/>
        <v>9.7764639868599332E-2</v>
      </c>
      <c r="G107" s="21">
        <f ca="1"/>
        <v>-0.12759264976082138</v>
      </c>
      <c r="H107" s="21">
        <f ca="1"/>
        <v>-5.2926770847255236E-2</v>
      </c>
      <c r="I107" s="21">
        <f ca="1"/>
        <v>-0.15030960215013259</v>
      </c>
    </row>
    <row r="108" spans="3:23" ht="10" customHeight="1" x14ac:dyDescent="0.15">
      <c r="C108" s="21">
        <f ca="1"/>
        <v>0.22653394873172489</v>
      </c>
      <c r="D108" s="21">
        <f ca="1"/>
        <v>-8.9105057207500976E-2</v>
      </c>
      <c r="E108" s="21">
        <f ca="1"/>
        <v>5.1865511709900128E-2</v>
      </c>
      <c r="F108" s="21">
        <f ca="1"/>
        <v>-0.14035083367085649</v>
      </c>
      <c r="G108" s="21">
        <f ca="1"/>
        <v>0.21041115748049574</v>
      </c>
      <c r="H108" s="21">
        <f ca="1"/>
        <v>0.22980119489857717</v>
      </c>
      <c r="I108" s="21">
        <f ca="1"/>
        <v>0.2124039628170033</v>
      </c>
    </row>
    <row r="109" spans="3:23" ht="10" customHeight="1" x14ac:dyDescent="0.15">
      <c r="C109" s="21">
        <f ca="1"/>
        <v>0.11463569360719934</v>
      </c>
      <c r="D109" s="21">
        <f ca="1"/>
        <v>-6.416083269535329E-2</v>
      </c>
      <c r="E109" s="21">
        <f ca="1"/>
        <v>0.40908492350809994</v>
      </c>
      <c r="F109" s="21">
        <f ca="1"/>
        <v>0.21648036596073569</v>
      </c>
      <c r="G109" s="21">
        <f ca="1"/>
        <v>0.10779972639536853</v>
      </c>
      <c r="H109" s="21">
        <f ca="1"/>
        <v>-1.9066353985360971E-2</v>
      </c>
      <c r="I109" s="21">
        <f ca="1"/>
        <v>0.10959443806832976</v>
      </c>
    </row>
    <row r="110" spans="3:23" ht="10" customHeight="1" x14ac:dyDescent="0.15">
      <c r="C110" s="21">
        <f ca="1"/>
        <v>3.011895551283722E-2</v>
      </c>
      <c r="D110" s="21">
        <f ca="1"/>
        <v>0.18707323916906346</v>
      </c>
      <c r="E110" s="21">
        <f ca="1"/>
        <v>0.34156029026526069</v>
      </c>
      <c r="F110" s="21">
        <f ca="1"/>
        <v>0.24793125080701769</v>
      </c>
      <c r="G110" s="21">
        <f ca="1"/>
        <v>-2.3634246521002846E-2</v>
      </c>
      <c r="H110" s="21">
        <f ca="1"/>
        <v>-0.1207178172757534</v>
      </c>
      <c r="I110" s="21">
        <f ca="1"/>
        <v>0.22697757421592962</v>
      </c>
    </row>
    <row r="111" spans="3:23" ht="10" customHeight="1" x14ac:dyDescent="0.15">
      <c r="C111" s="21">
        <f ca="1"/>
        <v>-0.12946565575293864</v>
      </c>
      <c r="D111" s="21">
        <f ca="1"/>
        <v>0.13557415322210115</v>
      </c>
      <c r="E111" s="21">
        <f ca="1"/>
        <v>-9.6596924068091481E-3</v>
      </c>
      <c r="F111" s="21">
        <f ca="1"/>
        <v>0.10509527117210582</v>
      </c>
      <c r="G111" s="21">
        <f ca="1"/>
        <v>-0.10134783630231958</v>
      </c>
      <c r="H111" s="21">
        <f ca="1"/>
        <v>-4.7613093748627676E-2</v>
      </c>
      <c r="I111" s="21">
        <f ca="1"/>
        <v>-0.16280574106642628</v>
      </c>
    </row>
    <row r="112" spans="3:23" ht="10" customHeight="1" x14ac:dyDescent="0.15">
      <c r="C112" s="21">
        <f ca="1"/>
        <v>0.32949685792982764</v>
      </c>
      <c r="D112" s="21">
        <f ca="1"/>
        <v>-0.29266326993954128</v>
      </c>
      <c r="E112" s="21">
        <f ca="1"/>
        <v>2.9877171478287404E-2</v>
      </c>
      <c r="F112" s="21">
        <f ca="1"/>
        <v>-0.14728989862908506</v>
      </c>
      <c r="G112" s="21">
        <f ca="1"/>
        <v>0.40410266563950464</v>
      </c>
      <c r="H112" s="21">
        <f ca="1"/>
        <v>0.40804420582650131</v>
      </c>
      <c r="I112" s="21">
        <f ca="1"/>
        <v>-7.3897687249093347E-2</v>
      </c>
    </row>
    <row r="113" spans="2:22" ht="10" customHeight="1" x14ac:dyDescent="0.15">
      <c r="C113" s="21">
        <f ca="1"/>
        <v>1.786929107612098E-2</v>
      </c>
      <c r="D113" s="21">
        <f ca="1"/>
        <v>-8.5665712432287072E-2</v>
      </c>
      <c r="E113" s="21">
        <f ca="1"/>
        <v>0.15277443350895922</v>
      </c>
      <c r="F113" s="21">
        <f ca="1"/>
        <v>-4.5087739891599893E-2</v>
      </c>
      <c r="G113" s="21">
        <f ca="1"/>
        <v>2.5111717900487364E-2</v>
      </c>
      <c r="H113" s="21">
        <f ca="1"/>
        <v>0.12183056341792416</v>
      </c>
      <c r="I113" s="21">
        <f ca="1"/>
        <v>6.4010994433084986E-2</v>
      </c>
    </row>
    <row r="115" spans="2:22" ht="10" customHeight="1" x14ac:dyDescent="0.15">
      <c r="C115" s="11" t="s">
        <v>50</v>
      </c>
      <c r="D115" s="14" t="s">
        <v>70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7" spans="2:22" ht="10" customHeight="1" x14ac:dyDescent="0.15">
      <c r="C117" s="10" t="s">
        <v>18</v>
      </c>
      <c r="K117" s="10" t="s">
        <v>27</v>
      </c>
    </row>
    <row r="118" spans="2:22" ht="10" customHeight="1" x14ac:dyDescent="0.15">
      <c r="C118" s="20" cm="1">
        <f t="array" aca="1" ref="C118:I121" ca="1">ABH!I85:O88</f>
        <v>1.0860130006704036</v>
      </c>
      <c r="D118" s="20">
        <f ca="1"/>
        <v>-0.43277599557761542</v>
      </c>
      <c r="E118" s="20">
        <f ca="1"/>
        <v>0.75397164230310509</v>
      </c>
      <c r="F118" s="20">
        <f ca="1"/>
        <v>0.48755724839716036</v>
      </c>
      <c r="G118" s="20">
        <f ca="1"/>
        <v>1.0181935971670275</v>
      </c>
      <c r="H118" s="20">
        <f ca="1"/>
        <v>0.33241130774231886</v>
      </c>
      <c r="I118" s="20">
        <f ca="1"/>
        <v>0.78772214063003287</v>
      </c>
      <c r="K118" s="19" cm="1">
        <f t="array" aca="1" ref="K118:Q121" ca="1">MMULT(ABH!C118:I121,ABH!C107:I113)</f>
        <v>-0.17008147932712231</v>
      </c>
      <c r="L118" s="19">
        <f ca="1"/>
        <v>0.21296616679188529</v>
      </c>
      <c r="M118" s="19">
        <f ca="1"/>
        <v>0.56733900444424679</v>
      </c>
      <c r="N118" s="19">
        <f ca="1"/>
        <v>0.47354477055600275</v>
      </c>
      <c r="O118" s="19">
        <f ca="1"/>
        <v>-0.10895565232397598</v>
      </c>
      <c r="P118" s="19">
        <f ca="1"/>
        <v>-4.7036146092305095E-2</v>
      </c>
      <c r="Q118" s="19">
        <f ca="1"/>
        <v>-0.20177517097793948</v>
      </c>
    </row>
    <row r="119" spans="2:22" ht="10" customHeight="1" x14ac:dyDescent="0.15">
      <c r="C119" s="20">
        <f ca="1"/>
        <v>0.31543894095753405</v>
      </c>
      <c r="D119" s="20">
        <f ca="1"/>
        <v>-0.77102268606132329</v>
      </c>
      <c r="E119" s="20">
        <f ca="1"/>
        <v>-0.22242383548467601</v>
      </c>
      <c r="F119" s="20">
        <f ca="1"/>
        <v>-1.2839626060618081</v>
      </c>
      <c r="G119" s="20">
        <f ca="1"/>
        <v>0.39977272235190353</v>
      </c>
      <c r="H119" s="20">
        <f ca="1"/>
        <v>0.89370707555679929</v>
      </c>
      <c r="I119" s="20">
        <f ca="1"/>
        <v>-0.13440090066960722</v>
      </c>
      <c r="K119" s="19">
        <f ca="1"/>
        <v>-4.642568941721216E-2</v>
      </c>
      <c r="L119" s="19">
        <f ca="1"/>
        <v>-0.30708729685099573</v>
      </c>
      <c r="M119" s="19">
        <f ca="1"/>
        <v>-0.56885696335990832</v>
      </c>
      <c r="N119" s="19">
        <f ca="1"/>
        <v>-0.31099236603284464</v>
      </c>
      <c r="O119" s="19">
        <f ca="1"/>
        <v>0.1211470676211033</v>
      </c>
      <c r="P119" s="19">
        <f ca="1"/>
        <v>0.29462431608159823</v>
      </c>
      <c r="Q119" s="19">
        <f ca="1"/>
        <v>-0.66672022421704602</v>
      </c>
    </row>
    <row r="120" spans="2:22" ht="10" customHeight="1" x14ac:dyDescent="0.15">
      <c r="C120" s="20">
        <f ca="1"/>
        <v>0.26289951740176015</v>
      </c>
      <c r="D120" s="20">
        <f ca="1"/>
        <v>-0.59832297312450911</v>
      </c>
      <c r="E120" s="20">
        <f ca="1"/>
        <v>-0.14888071071244779</v>
      </c>
      <c r="F120" s="20">
        <f ca="1"/>
        <v>-0.25557276964603648</v>
      </c>
      <c r="G120" s="20">
        <f ca="1"/>
        <v>0.16356722281246494</v>
      </c>
      <c r="H120" s="20">
        <f ca="1"/>
        <v>-0.84922049121849341</v>
      </c>
      <c r="I120" s="20">
        <f ca="1"/>
        <v>0.28431096656665761</v>
      </c>
      <c r="K120" s="19">
        <f ca="1"/>
        <v>-0.4961455528816589</v>
      </c>
      <c r="L120" s="19">
        <f ca="1"/>
        <v>0.29973015762035099</v>
      </c>
      <c r="M120" s="19">
        <f ca="1"/>
        <v>-0.1641088468350014</v>
      </c>
      <c r="N120" s="19">
        <f ca="1"/>
        <v>0.1435359803255524</v>
      </c>
      <c r="O120" s="19">
        <f ca="1"/>
        <v>-0.52205681695757988</v>
      </c>
      <c r="P120" s="19">
        <f ca="1"/>
        <v>-0.43738863461593785</v>
      </c>
      <c r="Q120" s="19">
        <f ca="1"/>
        <v>-0.18660350248227736</v>
      </c>
    </row>
    <row r="121" spans="2:22" ht="10" customHeight="1" x14ac:dyDescent="0.15">
      <c r="C121" s="20">
        <f ca="1"/>
        <v>-0.73130817898495215</v>
      </c>
      <c r="D121" s="20">
        <f ca="1"/>
        <v>0.71690990093174489</v>
      </c>
      <c r="E121" s="20">
        <f ca="1"/>
        <v>-1.0976193575550686E-2</v>
      </c>
      <c r="F121" s="20">
        <f ca="1"/>
        <v>4.4157875507506938E-2</v>
      </c>
      <c r="G121" s="20">
        <f ca="1"/>
        <v>-0.60515656896890069</v>
      </c>
      <c r="H121" s="20">
        <f ca="1"/>
        <v>0.75292748535743526</v>
      </c>
      <c r="I121" s="20">
        <f ca="1"/>
        <v>-0.53039396746470557</v>
      </c>
      <c r="K121" s="19">
        <f ca="1"/>
        <v>0.59050341657835692</v>
      </c>
      <c r="L121" s="19">
        <f ca="1"/>
        <v>-0.41847035541385308</v>
      </c>
      <c r="M121" s="19">
        <f ca="1"/>
        <v>-1.1276906623393368E-3</v>
      </c>
      <c r="N121" s="19">
        <f ca="1"/>
        <v>-0.31412643757421488</v>
      </c>
      <c r="O121" s="19">
        <f ca="1"/>
        <v>0.59420073070106005</v>
      </c>
      <c r="P121" s="19">
        <f ca="1"/>
        <v>0.46975404429075851</v>
      </c>
      <c r="Q121" s="19">
        <f ca="1"/>
        <v>0.27994938161047783</v>
      </c>
    </row>
    <row r="123" spans="2:22" ht="10" customHeight="1" x14ac:dyDescent="0.15">
      <c r="C123" s="11" t="s">
        <v>58</v>
      </c>
      <c r="D123" s="14" t="s">
        <v>71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5" spans="2:22" ht="10" customHeight="1" x14ac:dyDescent="0.15">
      <c r="C125" s="10" t="s">
        <v>34</v>
      </c>
    </row>
    <row r="126" spans="2:22" ht="10" customHeight="1" x14ac:dyDescent="0.15">
      <c r="C126" s="22" cm="1">
        <f t="array" aca="1" ref="C126:I126" ca="1">_xlfn.BYCOL(ABH!K118:Q121, _xlfn.LAMBDA(_xlpm.col, AVERAGE(_xlpm.col)))</f>
        <v>-3.0537326261909109E-2</v>
      </c>
      <c r="D126" s="22">
        <f ca="1"/>
        <v>-5.3215331963153131E-2</v>
      </c>
      <c r="E126" s="22">
        <f ca="1"/>
        <v>-4.1688624103250568E-2</v>
      </c>
      <c r="F126" s="22">
        <f ca="1"/>
        <v>-2.0095131813760991E-3</v>
      </c>
      <c r="G126" s="22">
        <f ca="1"/>
        <v>2.1083832260151869E-2</v>
      </c>
      <c r="H126" s="22">
        <f ca="1"/>
        <v>6.9988394916028443E-2</v>
      </c>
      <c r="I126" s="22">
        <f ca="1"/>
        <v>-0.19378737901669624</v>
      </c>
    </row>
    <row r="128" spans="2:22" ht="10" customHeight="1" x14ac:dyDescent="0.15">
      <c r="C128" s="10" t="s">
        <v>35</v>
      </c>
    </row>
    <row r="129" spans="2:22" ht="10" customHeight="1" x14ac:dyDescent="0.15">
      <c r="C129" s="22" cm="1">
        <f t="array" aca="1" ref="C129:I129" ca="1">_xlfn.BYCOL(ABH!K118:Q121, _xlfn.LAMBDA(_xlpm.col, _xlfn.STDEV.S(_xlpm.col)))</f>
        <v>0.45541469589156508</v>
      </c>
      <c r="D129" s="22">
        <f ca="1"/>
        <v>0.36207058041621443</v>
      </c>
      <c r="E129" s="22">
        <f ca="1"/>
        <v>0.47097523307285866</v>
      </c>
      <c r="F129" s="22">
        <f ca="1"/>
        <v>0.38306776829077477</v>
      </c>
      <c r="G129" s="22">
        <f ca="1"/>
        <v>0.46561345296035422</v>
      </c>
      <c r="H129" s="22">
        <f ca="1"/>
        <v>0.40058293556299368</v>
      </c>
      <c r="I129" s="22">
        <f ca="1"/>
        <v>0.38652615579513905</v>
      </c>
    </row>
    <row r="131" spans="2:22" ht="10" customHeight="1" x14ac:dyDescent="0.15">
      <c r="C131" s="10" t="s">
        <v>57</v>
      </c>
    </row>
    <row r="132" spans="2:22" ht="10" customHeight="1" x14ac:dyDescent="0.15">
      <c r="C132" s="22" cm="1">
        <f t="array" aca="1" ref="C132:I135" ca="1">(ABH!K118:Q121 - ABH!C126:I126)/(ABH!C129:I129 - 0.00000001)</f>
        <v>-0.3064111838906286</v>
      </c>
      <c r="D132" s="22">
        <f ca="1"/>
        <v>0.73516469026756937</v>
      </c>
      <c r="E132" s="22">
        <f ca="1"/>
        <v>1.2931203144274159</v>
      </c>
      <c r="F132" s="22">
        <f ca="1"/>
        <v>1.2414364650767618</v>
      </c>
      <c r="G132" s="22">
        <f ca="1"/>
        <v>-0.2792863620030841</v>
      </c>
      <c r="H132" s="22">
        <f ca="1"/>
        <v>-0.29213561922007292</v>
      </c>
      <c r="I132" s="22">
        <f ca="1"/>
        <v>-2.0665592866457264E-2</v>
      </c>
    </row>
    <row r="133" spans="2:22" ht="10" customHeight="1" x14ac:dyDescent="0.15">
      <c r="C133" s="22">
        <f ca="1"/>
        <v>-3.4887682912988216E-2</v>
      </c>
      <c r="D133" s="22">
        <f ca="1"/>
        <v>-0.70116708075999312</v>
      </c>
      <c r="E133" s="22">
        <f ca="1"/>
        <v>-1.1193122555729564</v>
      </c>
      <c r="F133" s="22">
        <f ca="1"/>
        <v>-0.80660104162806967</v>
      </c>
      <c r="G133" s="22">
        <f ca="1"/>
        <v>0.21490624223551802</v>
      </c>
      <c r="H133" s="22">
        <f ca="1"/>
        <v>0.56077258123235874</v>
      </c>
      <c r="I133" s="22">
        <f ca="1"/>
        <v>-1.2235468424198315</v>
      </c>
    </row>
    <row r="134" spans="2:22" ht="10" customHeight="1" x14ac:dyDescent="0.15">
      <c r="C134" s="22">
        <f ca="1"/>
        <v>-1.0223829864164982</v>
      </c>
      <c r="D134" s="22">
        <f ca="1"/>
        <v>0.97479750750738825</v>
      </c>
      <c r="E134" s="22">
        <f ca="1"/>
        <v>-0.25992922076245345</v>
      </c>
      <c r="F134" s="22">
        <f ca="1"/>
        <v>0.37994712516747353</v>
      </c>
      <c r="G134" s="22">
        <f ca="1"/>
        <v>-1.1665055153142965</v>
      </c>
      <c r="H134" s="22">
        <f ca="1"/>
        <v>-1.2665967447785758</v>
      </c>
      <c r="I134" s="22">
        <f ca="1"/>
        <v>1.8585745395413352E-2</v>
      </c>
    </row>
    <row r="135" spans="2:22" ht="10" customHeight="1" x14ac:dyDescent="0.15">
      <c r="C135" s="22">
        <f ca="1"/>
        <v>1.3636818532201149</v>
      </c>
      <c r="D135" s="22">
        <f ca="1"/>
        <v>-1.0087951170149643</v>
      </c>
      <c r="E135" s="22">
        <f ca="1"/>
        <v>8.6121161907993959E-2</v>
      </c>
      <c r="F135" s="22">
        <f ca="1"/>
        <v>-0.81478254861616561</v>
      </c>
      <c r="G135" s="22">
        <f ca="1"/>
        <v>1.2308856350818624</v>
      </c>
      <c r="H135" s="22">
        <f ca="1"/>
        <v>0.99795978276628994</v>
      </c>
      <c r="I135" s="22">
        <f ca="1"/>
        <v>1.2256266898908752</v>
      </c>
    </row>
    <row r="137" spans="2:22" ht="10" customHeight="1" x14ac:dyDescent="0.15">
      <c r="C137" s="11" t="s">
        <v>60</v>
      </c>
      <c r="D137" s="14" t="s">
        <v>72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9" spans="2:22" ht="10" customHeight="1" x14ac:dyDescent="0.15">
      <c r="C139" s="10" t="s">
        <v>32</v>
      </c>
    </row>
    <row r="140" spans="2:22" ht="10" customHeight="1" x14ac:dyDescent="0.15">
      <c r="C140" s="21" cm="1">
        <f t="array" aca="1" ref="C140:I143" ca="1">EXP(ABH!C132:I135)</f>
        <v>0.73608389138362385</v>
      </c>
      <c r="D140" s="21">
        <f ca="1"/>
        <v>2.0858254793760804</v>
      </c>
      <c r="E140" s="21">
        <f ca="1"/>
        <v>3.6441396955258405</v>
      </c>
      <c r="F140" s="21">
        <f ca="1"/>
        <v>3.4605808997428662</v>
      </c>
      <c r="G140" s="21">
        <f ca="1"/>
        <v>0.75632328994933429</v>
      </c>
      <c r="H140" s="21">
        <f ca="1"/>
        <v>0.74666726667412031</v>
      </c>
      <c r="I140" s="21">
        <f ca="1"/>
        <v>0.97954647713472898</v>
      </c>
    </row>
    <row r="141" spans="2:22" ht="10" customHeight="1" x14ac:dyDescent="0.15">
      <c r="C141" s="21">
        <f ca="1"/>
        <v>0.96571387633596939</v>
      </c>
      <c r="D141" s="21">
        <f ca="1"/>
        <v>0.49600608669996576</v>
      </c>
      <c r="E141" s="21">
        <f ca="1"/>
        <v>0.32650426891507217</v>
      </c>
      <c r="F141" s="21">
        <f ca="1"/>
        <v>0.4463726928897489</v>
      </c>
      <c r="G141" s="21">
        <f ca="1"/>
        <v>1.2397456557356801</v>
      </c>
      <c r="H141" s="21">
        <f ca="1"/>
        <v>1.7520255596206553</v>
      </c>
      <c r="I141" s="21">
        <f ca="1"/>
        <v>0.29418488686199612</v>
      </c>
    </row>
    <row r="142" spans="2:22" ht="10" customHeight="1" x14ac:dyDescent="0.15">
      <c r="C142" s="21">
        <f ca="1"/>
        <v>0.35973667035759316</v>
      </c>
      <c r="D142" s="21">
        <f ca="1"/>
        <v>2.6506304238752381</v>
      </c>
      <c r="E142" s="21">
        <f ca="1"/>
        <v>0.77110616217833283</v>
      </c>
      <c r="F142" s="21">
        <f ca="1"/>
        <v>1.4622072734255056</v>
      </c>
      <c r="G142" s="21">
        <f ca="1"/>
        <v>0.31145341100901441</v>
      </c>
      <c r="H142" s="21">
        <f ca="1"/>
        <v>0.28178899162446891</v>
      </c>
      <c r="I142" s="21">
        <f ca="1"/>
        <v>1.0187595353637739</v>
      </c>
    </row>
    <row r="143" spans="2:22" ht="10" customHeight="1" x14ac:dyDescent="0.15">
      <c r="C143" s="21">
        <f ca="1"/>
        <v>3.9105649545724224</v>
      </c>
      <c r="D143" s="21">
        <f ca="1"/>
        <v>0.36465808530522731</v>
      </c>
      <c r="E143" s="21">
        <f ca="1"/>
        <v>1.0899383793188249</v>
      </c>
      <c r="F143" s="21">
        <f ca="1"/>
        <v>0.44273559036150734</v>
      </c>
      <c r="G143" s="21">
        <f ca="1"/>
        <v>3.4242608393061298</v>
      </c>
      <c r="H143" s="21">
        <f ca="1"/>
        <v>2.712741596586576</v>
      </c>
      <c r="I143" s="21">
        <f ca="1"/>
        <v>3.4063001078778954</v>
      </c>
    </row>
    <row r="145" spans="3:9" ht="10" customHeight="1" x14ac:dyDescent="0.15">
      <c r="C145" s="10" t="s">
        <v>40</v>
      </c>
    </row>
    <row r="146" spans="3:9" ht="10" customHeight="1" x14ac:dyDescent="0.15">
      <c r="C146" s="21" cm="1">
        <f t="array" aca="1" ref="C146:I146" ca="1">_xlfn.BYCOL(ABH!C132:I135, _xlfn.LAMBDA(_xlpm.col, SUM(EXP(_xlpm.col))))</f>
        <v>5.9720993926496089</v>
      </c>
      <c r="D146" s="21">
        <f ca="1"/>
        <v>5.5971200752565116</v>
      </c>
      <c r="E146" s="21">
        <f ca="1"/>
        <v>5.8316885059380699</v>
      </c>
      <c r="F146" s="21">
        <f ca="1"/>
        <v>5.8118964564196274</v>
      </c>
      <c r="G146" s="21">
        <f ca="1"/>
        <v>5.7317831960001584</v>
      </c>
      <c r="H146" s="21">
        <f ca="1"/>
        <v>5.4932234145058203</v>
      </c>
      <c r="I146" s="21">
        <f ca="1"/>
        <v>5.6987910072383947</v>
      </c>
    </row>
    <row r="148" spans="3:9" ht="10" customHeight="1" x14ac:dyDescent="0.15">
      <c r="C148" s="10" t="s">
        <v>31</v>
      </c>
    </row>
    <row r="149" spans="3:9" ht="10" customHeight="1" x14ac:dyDescent="0.15">
      <c r="C149" s="21" cm="1">
        <f t="array" aca="1" ref="C149:I152" ca="1">ABH!C140:I143/ABH!C146:I146</f>
        <v>0.12325379116924735</v>
      </c>
      <c r="D149" s="21">
        <f ca="1"/>
        <v>0.37266048455830003</v>
      </c>
      <c r="E149" s="21">
        <f ca="1"/>
        <v>0.62488586141307523</v>
      </c>
      <c r="F149" s="21">
        <f ca="1"/>
        <v>0.59543058375040792</v>
      </c>
      <c r="G149" s="21">
        <f ca="1"/>
        <v>0.13195252927171486</v>
      </c>
      <c r="H149" s="21">
        <f ca="1"/>
        <v>0.13592515911557765</v>
      </c>
      <c r="I149" s="21">
        <f ca="1"/>
        <v>0.17188671700550961</v>
      </c>
    </row>
    <row r="150" spans="3:9" ht="10" customHeight="1" x14ac:dyDescent="0.15">
      <c r="C150" s="21">
        <f ca="1"/>
        <v>0.16170425387168855</v>
      </c>
      <c r="D150" s="21">
        <f ca="1"/>
        <v>8.8618089308586834E-2</v>
      </c>
      <c r="E150" s="21">
        <f ca="1"/>
        <v>5.5987947329939149E-2</v>
      </c>
      <c r="F150" s="21">
        <f ca="1"/>
        <v>7.6803276905716464E-2</v>
      </c>
      <c r="G150" s="21">
        <f ca="1"/>
        <v>0.2162931871883812</v>
      </c>
      <c r="H150" s="21">
        <f ca="1"/>
        <v>0.31894307356844881</v>
      </c>
      <c r="I150" s="21">
        <f ca="1"/>
        <v>5.162233296296237E-2</v>
      </c>
    </row>
    <row r="151" spans="3:9" ht="10" customHeight="1" x14ac:dyDescent="0.15">
      <c r="C151" s="21">
        <f ca="1"/>
        <v>6.0236216229145968E-2</v>
      </c>
      <c r="D151" s="21">
        <f ca="1"/>
        <v>0.47357040553641538</v>
      </c>
      <c r="E151" s="21">
        <f ca="1"/>
        <v>0.13222691187863689</v>
      </c>
      <c r="F151" s="21">
        <f ca="1"/>
        <v>0.25158866548807834</v>
      </c>
      <c r="G151" s="21">
        <f ca="1"/>
        <v>5.4337960868156641E-2</v>
      </c>
      <c r="H151" s="21">
        <f ca="1"/>
        <v>5.1297566175873284E-2</v>
      </c>
      <c r="I151" s="21">
        <f ca="1"/>
        <v>0.17876766038090941</v>
      </c>
    </row>
    <row r="152" spans="3:9" ht="10" customHeight="1" x14ac:dyDescent="0.15">
      <c r="C152" s="21">
        <f ca="1"/>
        <v>0.6548057387299181</v>
      </c>
      <c r="D152" s="21">
        <f ca="1"/>
        <v>6.5151020596697723E-2</v>
      </c>
      <c r="E152" s="21">
        <f ca="1"/>
        <v>0.1868992793783488</v>
      </c>
      <c r="F152" s="21">
        <f ca="1"/>
        <v>7.6177473855797331E-2</v>
      </c>
      <c r="G152" s="21">
        <f ca="1"/>
        <v>0.59741632267174738</v>
      </c>
      <c r="H152" s="21">
        <f ca="1"/>
        <v>0.49383420114010035</v>
      </c>
      <c r="I152" s="21">
        <f ca="1"/>
        <v>0.59772328965061861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84F8-412C-494F-A12B-22678AFCC2D7}">
  <dimension ref="A1:E32"/>
  <sheetViews>
    <sheetView showGridLines="0" tabSelected="1" zoomScale="125" workbookViewId="0">
      <selection activeCell="A2" sqref="A2:C10"/>
    </sheetView>
  </sheetViews>
  <sheetFormatPr baseColWidth="10" defaultColWidth="8.83203125" defaultRowHeight="15" x14ac:dyDescent="0.2"/>
  <cols>
    <col min="1" max="1" width="16.83203125" style="1" customWidth="1"/>
    <col min="2" max="2" width="14" style="1" customWidth="1"/>
    <col min="3" max="3" width="12.5" style="1" customWidth="1"/>
    <col min="4" max="16384" width="8.83203125" style="1"/>
  </cols>
  <sheetData>
    <row r="1" spans="1:5" x14ac:dyDescent="0.2">
      <c r="A1" s="3" t="s">
        <v>0</v>
      </c>
      <c r="B1" s="3" t="s">
        <v>1</v>
      </c>
      <c r="C1" s="3" t="s">
        <v>2</v>
      </c>
      <c r="E1" s="8" t="s">
        <v>28</v>
      </c>
    </row>
    <row r="2" spans="1:5" x14ac:dyDescent="0.2">
      <c r="A2" s="4" t="s">
        <v>39</v>
      </c>
      <c r="B2" s="4" t="s">
        <v>3</v>
      </c>
      <c r="C2" s="5" t="s">
        <v>36</v>
      </c>
      <c r="D2" t="s">
        <v>29</v>
      </c>
      <c r="E2" s="2"/>
    </row>
    <row r="3" spans="1:5" x14ac:dyDescent="0.2">
      <c r="A3" s="4" t="s">
        <v>4</v>
      </c>
      <c r="B3" s="4" t="s">
        <v>12</v>
      </c>
      <c r="C3" s="5" t="s">
        <v>4</v>
      </c>
      <c r="D3" t="s">
        <v>29</v>
      </c>
      <c r="E3" s="2"/>
    </row>
    <row r="4" spans="1:5" x14ac:dyDescent="0.2">
      <c r="A4" s="4" t="s">
        <v>4</v>
      </c>
      <c r="B4" s="4" t="s">
        <v>33</v>
      </c>
      <c r="C4" s="5" t="s">
        <v>4</v>
      </c>
      <c r="D4" t="s">
        <v>29</v>
      </c>
      <c r="E4" s="2"/>
    </row>
    <row r="5" spans="1:5" x14ac:dyDescent="0.2">
      <c r="A5" s="4" t="s">
        <v>4</v>
      </c>
      <c r="B5" s="4" t="s">
        <v>5</v>
      </c>
      <c r="C5" s="5" t="s">
        <v>37</v>
      </c>
      <c r="D5" t="s">
        <v>29</v>
      </c>
      <c r="E5" s="2"/>
    </row>
    <row r="6" spans="1:5" x14ac:dyDescent="0.2">
      <c r="A6" s="4" t="s">
        <v>4</v>
      </c>
      <c r="B6" s="4" t="s">
        <v>6</v>
      </c>
      <c r="C6" s="5" t="s">
        <v>38</v>
      </c>
      <c r="D6" t="s">
        <v>29</v>
      </c>
      <c r="E6" s="7"/>
    </row>
    <row r="7" spans="1:5" x14ac:dyDescent="0.2">
      <c r="A7" s="4" t="s">
        <v>4</v>
      </c>
      <c r="B7" s="4" t="s">
        <v>7</v>
      </c>
      <c r="C7" s="5" t="s">
        <v>41</v>
      </c>
      <c r="D7" t="s">
        <v>29</v>
      </c>
      <c r="E7" s="2"/>
    </row>
    <row r="8" spans="1:5" x14ac:dyDescent="0.2">
      <c r="A8" s="6" t="s">
        <v>8</v>
      </c>
      <c r="B8" s="6" t="s">
        <v>9</v>
      </c>
      <c r="C8" s="5" t="s">
        <v>11</v>
      </c>
      <c r="D8" t="s">
        <v>29</v>
      </c>
      <c r="E8" s="2"/>
    </row>
    <row r="9" spans="1:5" x14ac:dyDescent="0.2">
      <c r="A9" s="4" t="s">
        <v>11</v>
      </c>
      <c r="B9" s="4" t="s">
        <v>10</v>
      </c>
      <c r="C9" s="5" t="s">
        <v>11</v>
      </c>
      <c r="D9" t="s">
        <v>29</v>
      </c>
      <c r="E9" s="2"/>
    </row>
    <row r="10" spans="1:5" x14ac:dyDescent="0.2">
      <c r="A10" s="4" t="s">
        <v>11</v>
      </c>
      <c r="B10" s="4" t="s">
        <v>30</v>
      </c>
      <c r="C10" s="4" t="s">
        <v>11</v>
      </c>
      <c r="D10" t="s">
        <v>29</v>
      </c>
      <c r="E10" s="2"/>
    </row>
    <row r="11" spans="1:5" x14ac:dyDescent="0.2">
      <c r="A11" s="4"/>
      <c r="B11" s="4"/>
      <c r="C11" s="4"/>
      <c r="D11"/>
      <c r="E11" s="2"/>
    </row>
    <row r="12" spans="1:5" x14ac:dyDescent="0.2">
      <c r="D12"/>
      <c r="E12" s="2"/>
    </row>
    <row r="13" spans="1:5" x14ac:dyDescent="0.2">
      <c r="D13"/>
    </row>
    <row r="14" spans="1:5" x14ac:dyDescent="0.2">
      <c r="D14"/>
    </row>
    <row r="15" spans="1:5" x14ac:dyDescent="0.2">
      <c r="D15"/>
    </row>
    <row r="16" spans="1:5" x14ac:dyDescent="0.2">
      <c r="D16"/>
    </row>
    <row r="17" spans="4:4" x14ac:dyDescent="0.2">
      <c r="D17"/>
    </row>
    <row r="18" spans="4:4" x14ac:dyDescent="0.2">
      <c r="D18"/>
    </row>
    <row r="19" spans="4:4" x14ac:dyDescent="0.2">
      <c r="D19"/>
    </row>
    <row r="20" spans="4:4" x14ac:dyDescent="0.2">
      <c r="D20"/>
    </row>
    <row r="21" spans="4:4" x14ac:dyDescent="0.2">
      <c r="D21"/>
    </row>
    <row r="22" spans="4:4" x14ac:dyDescent="0.2">
      <c r="D22"/>
    </row>
    <row r="23" spans="4:4" x14ac:dyDescent="0.2">
      <c r="D23"/>
    </row>
    <row r="24" spans="4:4" x14ac:dyDescent="0.2">
      <c r="D24"/>
    </row>
    <row r="25" spans="4:4" x14ac:dyDescent="0.2">
      <c r="D25"/>
    </row>
    <row r="26" spans="4:4" x14ac:dyDescent="0.2">
      <c r="D26"/>
    </row>
    <row r="27" spans="4:4" x14ac:dyDescent="0.2">
      <c r="D27"/>
    </row>
    <row r="28" spans="4:4" x14ac:dyDescent="0.2">
      <c r="D28"/>
    </row>
    <row r="29" spans="4:4" x14ac:dyDescent="0.2">
      <c r="D29"/>
    </row>
    <row r="30" spans="4:4" x14ac:dyDescent="0.2">
      <c r="D30"/>
    </row>
    <row r="31" spans="4:4" x14ac:dyDescent="0.2">
      <c r="D31"/>
    </row>
    <row r="32" spans="4:4" x14ac:dyDescent="0.2">
      <c r="D3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2622D2V3UD4UIOPPOJCKYK6VFRBGSFTU:ms-officescript%3A%2F%2Fonedrive_business_sharinglink%2Fu!aHR0cHM6Ly9vMzY1Y29sb3JhZG9lZHUtbXkuc2hhcmVwb2ludC5jb20vOnU6L2cvcGVyc29uYWwvbW9qdTM1NzJfY29sb3JhZG9fZWR1L0VidWctVVE1NzNKRXJDdlZMRUpwRm5RQmM1TEtlWGVhVTc5X2VhamFjSlpsdkE"/>
  <scriptId xmlns="" id="ms-officescript%3A%2F%2Fonedrive_business_itemlink%2F012622D2XEYLK65NECRVGLJXPUHBG5YSQ5:ms-officescript%3A%2F%2Fonedrive_business_sharinglink%2Fu!aHR0cHM6Ly9vMzY1Y29sb3JhZG9lZHUtbXkuc2hhcmVwb2ludC5jb20vOnU6L2cvcGVyc29uYWwvbW9qdTM1NzJfY29sb3JhZG9fZWR1L0VlVEMxZTYwZ28xTXROMzBPRTNjU2gwQmVMaDhuT0Nhbm8yUFdjMjBOZFc1Wmc"/>
  <scriptId xmlns="" id="ms-officescript%3A%2F%2Fonedrive_business_itemlink%2F012622D2R3JKD23U3P45CJIZAHOMANAS46:ms-officescript%3A%2F%2Fonedrive_business_sharinglink%2Fu!aHR0cHM6Ly9vMzY1Y29sb3JhZG9lZHUtbXkuc2hhcmVwb2ludC5jb20vOnU6L2cvcGVyc29uYWwvbW9qdTM1NzJfY29sb3JhZG9fZWR1L0VUdEtoNjNUYi1kRWxHUUhjd0RRUzU0QjktWmNtbDhwYUZ3VU93dGtZclZ5MVE"/>
  <scriptId xmlns="" id="ms-officescript%3A%2F%2Fonedrive_business_itemlink%2F012622D2WMHNJ6E7PTN5H3IGNRN6ZTTW4U:ms-officescript%3A%2F%2Fonedrive_business_sharinglink%2Fu!aHR0cHM6Ly9vMzY1Y29sb3JhZG9lZHUtbXkuc2hhcmVwb2ludC5jb20vOnU6L2cvcGVyc29uYWwvbW9qdTM1NzJfY29sb3JhZG9fZWR1L0VjdzdVLUo5ODI5UHRCbXhiN001MjVRQk5GdVdCR2lUSURuY3JuM1Y5d3RSMXc"/>
  <scriptId xmlns="" id="ms-officescript%3A%2F%2Fonedrive_business_itemlink%2F012622D2XFPZNNAGHDGBE2UQGTFTSSUKLE:ms-officescript%3A%2F%2Fonedrive_business_sharinglink%2Fu!aHR0cHM6Ly9vMzY1Y29sb3JhZG9lZHUtbXkuc2hhcmVwb2ludC5jb20vOnU6L2cvcGVyc29uYWwvbW9qdTM1NzJfY29sb3JhZG9fZWR1L0VlVi1XdEFZNHpCSnFrRFRMT1VxS1dRQmpoSGdWQWE5b0c4M3k4Zm5HeXdGc3c"/>
</scriptIds>
</file>

<file path=customXml/itemProps1.xml><?xml version="1.0" encoding="utf-8"?>
<ds:datastoreItem xmlns:ds="http://schemas.openxmlformats.org/officeDocument/2006/customXml" ds:itemID="{DEDA3C3B-D28F-4870-BF1A-329FDF1E86DE}">
  <ds:schemaRefs>
    <ds:schemaRef ds:uri="http://schemas.microsoft.com/office/extensibility/maker/v1.0"/>
    <ds:schemaRef ds:uri=""/>
  </ds:schemaRefs>
</ds:datastoreItem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Design2</vt:lpstr>
      <vt:lpstr>ABH</vt:lpstr>
      <vt:lpstr>Design3</vt:lpstr>
      <vt:lpstr>A</vt:lpstr>
      <vt:lpstr>K</vt:lpstr>
      <vt:lpstr>KT</vt:lpstr>
      <vt:lpstr>PE</vt:lpstr>
      <vt:lpstr>Q</vt:lpstr>
      <vt:lpstr>V</vt:lpstr>
      <vt:lpstr>W_K</vt:lpstr>
      <vt:lpstr>W_Q</vt:lpstr>
      <vt:lpstr>W_V</vt:lpstr>
      <vt:lpstr>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 Jubair</cp:lastModifiedBy>
  <cp:revision/>
  <dcterms:created xsi:type="dcterms:W3CDTF">2025-10-03T05:50:34Z</dcterms:created>
  <dcterms:modified xsi:type="dcterms:W3CDTF">2025-11-27T09:22:26Z</dcterms:modified>
  <cp:category/>
  <cp:contentStatus/>
</cp:coreProperties>
</file>